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Angajați" sheetId="2" state="visible" r:id="rId2"/>
    <sheet name="Contracte" sheetId="3" state="visible" r:id="rId3"/>
    <sheet name="Departamente" sheetId="4" state="visible" r:id="rId4"/>
    <sheet name="Documente" sheetId="5" state="visible" r:id="rId5"/>
    <sheet name="Pontaj" sheetId="6" state="visible" r:id="rId6"/>
    <sheet name="Ore Suplimentare" sheetId="7" state="visible" r:id="rId7"/>
    <sheet name="Concedii" sheetId="8" state="visible" r:id="rId8"/>
    <sheet name="Salarizare" sheetId="9" state="visible" r:id="rId9"/>
    <sheet name="Fluturași" sheetId="10" state="visible" r:id="rId10"/>
    <sheet name="Evaluări" sheetId="11" state="visible" r:id="rId11"/>
    <sheet name="Training" sheetId="12" state="visible" r:id="rId12"/>
    <sheet name="Recrutare" sheetId="13" state="visible" r:id="rId13"/>
    <sheet name="Organigramă" sheetId="14" state="visible" r:id="rId14"/>
    <sheet name="Istoric" sheetId="15" state="visible" r:id="rId15"/>
    <sheet name="Configurare" sheetId="16" state="visible" r:id="rId16"/>
  </sheets>
  <definedNames>
    <definedName name="_xlnm._FilterDatabase" localSheetId="1" hidden="1">'Angajați'!$A$2:$R$2</definedName>
    <definedName name="_xlnm._FilterDatabase" localSheetId="2" hidden="1">'Contracte'!$A$2:$L$2</definedName>
    <definedName name="_xlnm._FilterDatabase" localSheetId="4" hidden="1">'Documente'!$A$2:$J$2</definedName>
    <definedName name="_xlnm._FilterDatabase" localSheetId="6" hidden="1">'Ore Suplimentare'!$A$2:$M$2</definedName>
    <definedName name="_xlnm._FilterDatabase" localSheetId="7" hidden="1">'Concedii'!$A$2:$L$2</definedName>
    <definedName name="_xlnm._FilterDatabase" localSheetId="8" hidden="1">'Salarizare'!$A$2:$X$2</definedName>
    <definedName name="_xlnm._FilterDatabase" localSheetId="10" hidden="1">'Evaluări'!$A$2:$N$2</definedName>
    <definedName name="_xlnm._FilterDatabase" localSheetId="11" hidden="1">'Training'!$A$2:$M$2</definedName>
    <definedName name="_xlnm._FilterDatabase" localSheetId="12" hidden="1">'Recrutare'!$A$2:$O$2</definedName>
    <definedName name="_xlnm._FilterDatabase" localSheetId="14" hidden="1">'Istoric'!$A$2:$L$2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&quot;RON&quot;"/>
    <numFmt numFmtId="165" formatCode="yyyy-mm-dd"/>
    <numFmt numFmtId="166" formatCode="DD.MM.YYYY"/>
  </numFmts>
  <fonts count="27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b val="1"/>
      <color rgb="00FFFFFF"/>
      <sz val="9"/>
    </font>
    <font>
      <name val="Calibri"/>
      <b val="1"/>
      <color rgb="002E75B6"/>
      <sz val="16"/>
    </font>
    <font>
      <name val="Calibri"/>
      <b val="1"/>
      <color rgb="0070AD47"/>
      <sz val="16"/>
    </font>
    <font>
      <name val="Calibri"/>
      <b val="1"/>
      <color rgb="005B9BD5"/>
      <sz val="16"/>
    </font>
    <font>
      <name val="Calibri"/>
      <b val="1"/>
      <color rgb="00FFC000"/>
      <sz val="16"/>
    </font>
    <font>
      <name val="Calibri"/>
      <b val="1"/>
      <color rgb="00FF0000"/>
      <sz val="16"/>
    </font>
    <font>
      <name val="Calibri"/>
      <b val="1"/>
      <color rgb="000D3B66"/>
      <sz val="12"/>
    </font>
    <font>
      <b val="1"/>
    </font>
    <font>
      <name val="Calibri"/>
      <b val="1"/>
      <color rgb="00FFFFFF"/>
      <sz val="12"/>
    </font>
    <font>
      <name val="Calibri"/>
      <sz val="10"/>
    </font>
    <font>
      <name val="Calibri"/>
      <b val="1"/>
      <sz val="12"/>
    </font>
    <font>
      <name val="Calibri"/>
      <b val="1"/>
      <sz val="10"/>
    </font>
    <font>
      <name val="Calibri"/>
      <color rgb="002E75B6"/>
      <sz val="10"/>
      <u val="single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sz val="8"/>
    </font>
    <font>
      <name val="Calibri"/>
      <b val="1"/>
      <sz val="11"/>
    </font>
    <font>
      <name val="Calibri"/>
      <i val="1"/>
      <color rgb="00666666"/>
      <sz val="9"/>
    </font>
    <font>
      <name val="Calibri"/>
      <b val="1"/>
      <color rgb="00FF0000"/>
      <sz val="12"/>
    </font>
    <font>
      <name val="Calibri"/>
      <color rgb="00FFFFFF"/>
      <sz val="10"/>
    </font>
    <font>
      <name val="Calibri"/>
      <b val="1"/>
      <color rgb="00FFFFFF"/>
      <sz val="10"/>
    </font>
    <font>
      <name val="Calibri"/>
      <b val="1"/>
      <sz val="9"/>
    </font>
    <font>
      <name val="Calibri"/>
      <i val="1"/>
      <sz val="9"/>
    </font>
    <font>
      <name val="Consolas"/>
      <b val="1"/>
      <color rgb="00FFFFFF"/>
      <sz val="11"/>
    </font>
    <font>
      <name val="Consolas"/>
      <color rgb="00000000"/>
      <sz val="11"/>
    </font>
  </fonts>
  <fills count="12">
    <fill>
      <patternFill/>
    </fill>
    <fill>
      <patternFill patternType="gray125"/>
    </fill>
    <fill>
      <patternFill patternType="solid">
        <fgColor rgb="000D3B66"/>
        <bgColor rgb="000D3B66"/>
      </patternFill>
    </fill>
    <fill>
      <patternFill patternType="solid">
        <fgColor rgb="002E75B6"/>
        <bgColor rgb="002E75B6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C000"/>
        <bgColor rgb="00FFC000"/>
      </patternFill>
    </fill>
    <fill>
      <patternFill patternType="solid">
        <fgColor rgb="00FF0000"/>
        <bgColor rgb="00FF0000"/>
      </patternFill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D6E4F0"/>
        <bgColor rgb="00D6E4F0"/>
      </patternFill>
    </fill>
    <fill>
      <patternFill patternType="solid">
        <fgColor rgb="00DEEAF6"/>
        <bgColor rgb="00DEEAF6"/>
      </patternFill>
    </fill>
  </fills>
  <borders count="5">
    <border>
      <left/>
      <right/>
      <top/>
      <bottom/>
      <diagonal/>
    </border>
    <border>
      <bottom style="thin">
        <color rgb="00B4C6E7"/>
      </bottom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left style="thin"/>
      <right style="thin"/>
      <top style="thin"/>
      <bottom style="thin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2" fillId="6" borderId="0" applyAlignment="1" pivotButton="0" quotePrefix="0" xfId="0">
      <alignment horizontal="center" vertical="center" wrapText="1"/>
    </xf>
    <xf numFmtId="0" fontId="2" fillId="7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164" fontId="7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pivotButton="0" quotePrefix="0" xfId="0"/>
    <xf numFmtId="0" fontId="10" fillId="7" borderId="0" pivotButton="0" quotePrefix="0" xfId="0"/>
    <xf numFmtId="0" fontId="10" fillId="3" borderId="0" pivotButton="0" quotePrefix="0" xfId="0"/>
    <xf numFmtId="0" fontId="11" fillId="0" borderId="1" pivotButton="0" quotePrefix="0" xfId="0"/>
    <xf numFmtId="0" fontId="12" fillId="0" borderId="1" applyAlignment="1" pivotButton="0" quotePrefix="0" xfId="0">
      <alignment horizontal="center"/>
    </xf>
    <xf numFmtId="0" fontId="14" fillId="0" borderId="0" pivotButton="0" quotePrefix="0" xfId="0"/>
    <xf numFmtId="0" fontId="11" fillId="0" borderId="0" pivotButton="0" quotePrefix="0" xfId="0"/>
    <xf numFmtId="164" fontId="13" fillId="0" borderId="0" applyAlignment="1" pivotButton="0" quotePrefix="0" xfId="0">
      <alignment horizontal="right"/>
    </xf>
    <xf numFmtId="0" fontId="15" fillId="2" borderId="0" applyAlignment="1" pivotButton="0" quotePrefix="0" xfId="0">
      <alignment horizontal="center" vertical="center"/>
    </xf>
    <xf numFmtId="0" fontId="16" fillId="8" borderId="2" applyAlignment="1" pivotButton="0" quotePrefix="0" xfId="0">
      <alignment horizontal="center" vertical="center" wrapText="1"/>
    </xf>
    <xf numFmtId="0" fontId="11" fillId="9" borderId="2" applyAlignment="1" pivotButton="0" quotePrefix="0" xfId="0">
      <alignment horizontal="left" vertical="center" wrapText="1"/>
    </xf>
    <xf numFmtId="166" fontId="11" fillId="9" borderId="2" applyAlignment="1" pivotButton="0" quotePrefix="0" xfId="0">
      <alignment horizontal="left" vertical="center" wrapText="1"/>
    </xf>
    <xf numFmtId="0" fontId="11" fillId="10" borderId="2" applyAlignment="1" pivotButton="0" quotePrefix="0" xfId="0">
      <alignment horizontal="left" vertical="center" wrapText="1"/>
    </xf>
    <xf numFmtId="166" fontId="11" fillId="10" borderId="2" applyAlignment="1" pivotButton="0" quotePrefix="0" xfId="0">
      <alignment horizontal="left" vertical="center" wrapText="1"/>
    </xf>
    <xf numFmtId="164" fontId="11" fillId="9" borderId="2" applyAlignment="1" pivotButton="0" quotePrefix="0" xfId="0">
      <alignment horizontal="left" vertical="center" wrapText="1"/>
    </xf>
    <xf numFmtId="164" fontId="11" fillId="10" borderId="2" applyAlignment="1" pivotButton="0" quotePrefix="0" xfId="0">
      <alignment horizontal="left" vertical="center" wrapText="1"/>
    </xf>
    <xf numFmtId="0" fontId="0" fillId="0" borderId="2" pivotButton="0" quotePrefix="0" xfId="0"/>
    <xf numFmtId="164" fontId="0" fillId="0" borderId="2" pivotButton="0" quotePrefix="0" xfId="0"/>
    <xf numFmtId="3" fontId="0" fillId="0" borderId="2" pivotButton="0" quotePrefix="0" xfId="0"/>
    <xf numFmtId="0" fontId="17" fillId="0" borderId="2" applyAlignment="1" pivotButton="0" quotePrefix="0" xfId="0">
      <alignment horizontal="center" vertical="center" wrapText="1"/>
    </xf>
    <xf numFmtId="0" fontId="18" fillId="0" borderId="0" pivotButton="0" quotePrefix="0" xfId="0"/>
    <xf numFmtId="164" fontId="18" fillId="0" borderId="0" pivotButton="0" quotePrefix="0" xfId="0"/>
    <xf numFmtId="0" fontId="19" fillId="0" borderId="0" pivotButton="0" quotePrefix="0" xfId="0"/>
    <xf numFmtId="0" fontId="18" fillId="0" borderId="2" pivotButton="0" quotePrefix="0" xfId="0"/>
    <xf numFmtId="164" fontId="18" fillId="0" borderId="2" pivotButton="0" quotePrefix="0" xfId="0"/>
    <xf numFmtId="0" fontId="13" fillId="0" borderId="0" pivotButton="0" quotePrefix="0" xfId="0"/>
    <xf numFmtId="0" fontId="20" fillId="0" borderId="0" applyAlignment="1" pivotButton="0" quotePrefix="0" xfId="0">
      <alignment horizontal="center"/>
    </xf>
    <xf numFmtId="0" fontId="21" fillId="2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/>
    </xf>
    <xf numFmtId="0" fontId="22" fillId="8" borderId="0" applyAlignment="1" pivotButton="0" quotePrefix="0" xfId="0">
      <alignment horizontal="center"/>
    </xf>
    <xf numFmtId="0" fontId="11" fillId="11" borderId="3" pivotButton="0" quotePrefix="0" xfId="0"/>
    <xf numFmtId="0" fontId="13" fillId="0" borderId="3" pivotButton="0" quotePrefix="0" xfId="0"/>
    <xf numFmtId="0" fontId="23" fillId="11" borderId="3" applyAlignment="1" pivotButton="0" quotePrefix="0" xfId="0">
      <alignment horizontal="center"/>
    </xf>
    <xf numFmtId="0" fontId="11" fillId="0" borderId="3" pivotButton="0" quotePrefix="0" xfId="0"/>
    <xf numFmtId="164" fontId="13" fillId="0" borderId="3" applyAlignment="1" pivotButton="0" quotePrefix="0" xfId="0">
      <alignment horizontal="right"/>
    </xf>
    <xf numFmtId="0" fontId="13" fillId="11" borderId="4" pivotButton="0" quotePrefix="0" xfId="0"/>
    <xf numFmtId="164" fontId="13" fillId="0" borderId="4" applyAlignment="1" pivotButton="0" quotePrefix="0" xfId="0">
      <alignment horizontal="right"/>
    </xf>
    <xf numFmtId="0" fontId="15" fillId="2" borderId="4" applyAlignment="1" pivotButton="0" quotePrefix="0" xfId="0">
      <alignment horizontal="center" vertical="center"/>
    </xf>
    <xf numFmtId="164" fontId="13" fillId="0" borderId="3" pivotButton="0" quotePrefix="0" xfId="0"/>
    <xf numFmtId="164" fontId="13" fillId="0" borderId="4" pivotButton="0" quotePrefix="0" xfId="0"/>
    <xf numFmtId="0" fontId="24" fillId="0" borderId="0" pivotButton="0" quotePrefix="0" xfId="0"/>
    <xf numFmtId="0" fontId="25" fillId="8" borderId="2" pivotButton="0" quotePrefix="0" xfId="0"/>
    <xf numFmtId="0" fontId="11" fillId="0" borderId="2" pivotButton="0" quotePrefix="0" xfId="0"/>
    <xf numFmtId="0" fontId="26" fillId="3" borderId="2" pivotButton="0" quotePrefix="0" xfId="0"/>
    <xf numFmtId="0" fontId="10" fillId="2" borderId="0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 wrapText="1"/>
    </xf>
    <xf numFmtId="10" fontId="0" fillId="0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center" vertical="center" wrapText="1"/>
    </xf>
    <xf numFmtId="164" fontId="0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dxfs count="21">
    <dxf>
      <font>
        <name val="Calibri"/>
        <b val="1"/>
        <sz val="10"/>
      </font>
      <fill>
        <patternFill patternType="solid">
          <fgColor rgb="00E2EFDA"/>
          <bgColor rgb="00E2EFDA"/>
        </patternFill>
      </fill>
    </dxf>
    <dxf>
      <font>
        <name val="Calibri"/>
        <b val="1"/>
        <sz val="10"/>
      </font>
      <fill>
        <patternFill patternType="solid">
          <fgColor rgb="00FCE4EC"/>
          <bgColor rgb="00FCE4EC"/>
        </patternFill>
      </fill>
    </dxf>
    <dxf>
      <font>
        <name val="Calibri"/>
        <b val="1"/>
        <sz val="10"/>
      </font>
      <fill>
        <patternFill patternType="solid">
          <fgColor rgb="00FFF9C4"/>
          <bgColor rgb="00FFF9C4"/>
        </patternFill>
      </fill>
    </dxf>
    <dxf>
      <font>
        <b val="1"/>
        <color rgb="00FF0000"/>
      </font>
      <fill>
        <patternFill patternType="solid">
          <fgColor rgb="00FCE4EC"/>
          <bgColor rgb="00FCE4EC"/>
        </patternFill>
      </fill>
    </dxf>
    <dxf>
      <font>
        <b val="1"/>
        <color rgb="00FF8C00"/>
      </font>
      <fill>
        <patternFill patternType="solid">
          <fgColor rgb="00FFF9C4"/>
          <bgColor rgb="00FFF9C4"/>
        </patternFill>
      </fill>
    </dxf>
    <dxf>
      <font>
        <name val="Calibri"/>
        <b val="1"/>
        <sz val="10"/>
      </font>
      <fill>
        <patternFill patternType="solid">
          <fgColor rgb="00FFE0B2"/>
          <bgColor rgb="00FFE0B2"/>
        </patternFill>
      </fill>
    </dxf>
    <dxf>
      <font>
        <name val="Calibri"/>
        <b val="1"/>
        <sz val="9"/>
      </font>
      <fill>
        <patternFill patternType="solid">
          <fgColor rgb="00E2EFDA"/>
          <bgColor rgb="00E2EFDA"/>
        </patternFill>
      </fill>
    </dxf>
    <dxf>
      <font>
        <name val="Calibri"/>
        <b val="1"/>
        <sz val="9"/>
      </font>
      <fill>
        <patternFill patternType="solid">
          <fgColor rgb="00DEEAF6"/>
          <bgColor rgb="00DEEAF6"/>
        </patternFill>
      </fill>
    </dxf>
    <dxf>
      <font>
        <name val="Calibri"/>
        <b val="1"/>
        <sz val="9"/>
      </font>
      <fill>
        <patternFill patternType="solid">
          <fgColor rgb="00FFE0B2"/>
          <bgColor rgb="00FFE0B2"/>
        </patternFill>
      </fill>
    </dxf>
    <dxf>
      <font>
        <name val="Calibri"/>
        <b val="1"/>
        <sz val="9"/>
      </font>
      <fill>
        <patternFill patternType="solid">
          <fgColor rgb="00FCE4EC"/>
          <bgColor rgb="00FCE4EC"/>
        </patternFill>
      </fill>
    </dxf>
    <dxf>
      <font>
        <name val="Calibri"/>
        <b val="1"/>
        <sz val="9"/>
      </font>
      <fill>
        <patternFill patternType="solid">
          <fgColor rgb="00FFF9C4"/>
          <bgColor rgb="00FFF9C4"/>
        </patternFill>
      </fill>
    </dxf>
    <dxf>
      <font>
        <name val="Calibri"/>
        <b val="1"/>
        <sz val="9"/>
      </font>
      <fill>
        <patternFill patternType="solid">
          <fgColor rgb="00E0E0E0"/>
          <bgColor rgb="00E0E0E0"/>
        </patternFill>
      </fill>
    </dxf>
    <dxf>
      <font>
        <name val="Calibri"/>
        <b val="1"/>
        <sz val="9"/>
      </font>
      <fill>
        <patternFill patternType="solid">
          <fgColor rgb="00E1BEE7"/>
          <bgColor rgb="00E1BEE7"/>
        </patternFill>
      </fill>
    </dxf>
    <dxf>
      <font>
        <name val="Calibri"/>
        <b val="1"/>
        <sz val="9"/>
      </font>
      <fill>
        <patternFill patternType="solid">
          <fgColor rgb="00B2DFDB"/>
          <bgColor rgb="00B2DFDB"/>
        </patternFill>
      </fill>
    </dxf>
    <dxf>
      <font>
        <name val="Calibri"/>
        <b val="1"/>
        <sz val="10"/>
      </font>
      <fill>
        <patternFill patternType="solid">
          <fgColor rgb="00DEEAF6"/>
          <bgColor rgb="00DEEAF6"/>
        </patternFill>
      </fill>
    </dxf>
    <dxf>
      <font>
        <name val="Calibri"/>
        <b val="1"/>
        <color rgb="00FFFFFF"/>
        <sz val="10"/>
      </font>
      <fill>
        <patternFill patternType="solid">
          <fgColor rgb="00FF0000"/>
          <bgColor rgb="00FF0000"/>
        </patternFill>
      </fill>
    </dxf>
    <dxf>
      <font>
        <name val="Calibri"/>
        <b val="1"/>
        <color rgb="00000000"/>
        <sz val="10"/>
      </font>
      <fill>
        <patternFill patternType="solid">
          <fgColor rgb="00FF8C00"/>
          <bgColor rgb="00FF8C00"/>
        </patternFill>
      </fill>
    </dxf>
    <dxf>
      <font>
        <name val="Calibri"/>
        <b val="1"/>
        <color rgb="00000000"/>
        <sz val="10"/>
      </font>
      <fill>
        <patternFill patternType="solid">
          <fgColor rgb="00FFD700"/>
          <bgColor rgb="00FFD700"/>
        </patternFill>
      </fill>
    </dxf>
    <dxf>
      <font>
        <name val="Calibri"/>
        <b val="1"/>
        <color rgb="00000000"/>
        <sz val="10"/>
      </font>
      <fill>
        <patternFill patternType="solid">
          <fgColor rgb="0090EE90"/>
          <bgColor rgb="0090EE90"/>
        </patternFill>
      </fill>
    </dxf>
    <dxf>
      <font>
        <name val="Calibri"/>
        <b val="1"/>
        <color rgb="00FFFFFF"/>
        <sz val="10"/>
      </font>
      <fill>
        <patternFill patternType="solid">
          <fgColor rgb="00008000"/>
          <bgColor rgb="00008000"/>
        </patternFill>
      </fill>
    </dxf>
    <dxf>
      <font>
        <name val="Calibri"/>
        <b val="1"/>
        <sz val="10"/>
      </font>
      <fill>
        <patternFill patternType="solid">
          <fgColor rgb="00FFFFFF"/>
          <bgColor rgb="00FFFFF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Distribuție Angajați pe Departament</a:t>
            </a:r>
          </a:p>
        </rich>
      </tx>
    </title>
    <plotArea>
      <pieChart>
        <varyColors val="1"/>
        <ser>
          <idx val="0"/>
          <order val="0"/>
          <tx>
            <strRef>
              <f>'Dashboard'!B9</f>
            </strRef>
          </tx>
          <spPr>
            <a:ln>
              <a:prstDash val="solid"/>
            </a:ln>
          </spPr>
          <cat>
            <numRef>
              <f>'Dashboard'!$A$10:$A$16</f>
            </numRef>
          </cat>
          <val>
            <numRef>
              <f>'Dashboard'!$B$10:$B$16</f>
            </numRef>
          </val>
        </ser>
        <dLbls>
          <showVal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7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Angaja&#539;i'!A1" TargetMode="External" Id="rId1" /><Relationship Type="http://schemas.openxmlformats.org/officeDocument/2006/relationships/hyperlink" Target="#'Contracte'!A1" TargetMode="External" Id="rId2" /><Relationship Type="http://schemas.openxmlformats.org/officeDocument/2006/relationships/hyperlink" Target="#'Departamente'!A1" TargetMode="External" Id="rId3" /><Relationship Type="http://schemas.openxmlformats.org/officeDocument/2006/relationships/hyperlink" Target="#'Documente'!A1" TargetMode="External" Id="rId4" /><Relationship Type="http://schemas.openxmlformats.org/officeDocument/2006/relationships/hyperlink" Target="#'Pontaj'!A1" TargetMode="External" Id="rId5" /><Relationship Type="http://schemas.openxmlformats.org/officeDocument/2006/relationships/hyperlink" Target="#'Ore Suplimentare'!A1" TargetMode="External" Id="rId6" /><Relationship Type="http://schemas.openxmlformats.org/officeDocument/2006/relationships/hyperlink" Target="#'Concedii'!A1" TargetMode="External" Id="rId7" /><Relationship Type="http://schemas.openxmlformats.org/officeDocument/2006/relationships/hyperlink" Target="#'Salarizare'!A1" TargetMode="External" Id="rId8" /><Relationship Type="http://schemas.openxmlformats.org/officeDocument/2006/relationships/hyperlink" Target="#'Flutura&#537;i'!A1" TargetMode="External" Id="rId9" /><Relationship Type="http://schemas.openxmlformats.org/officeDocument/2006/relationships/hyperlink" Target="#'Evalu&#259;ri'!A1" TargetMode="External" Id="rId10" /><Relationship Type="http://schemas.openxmlformats.org/officeDocument/2006/relationships/hyperlink" Target="#'Training'!A1" TargetMode="External" Id="rId11" /><Relationship Type="http://schemas.openxmlformats.org/officeDocument/2006/relationships/hyperlink" Target="#'Recrutare'!A1" TargetMode="External" Id="rId12" /><Relationship Type="http://schemas.openxmlformats.org/officeDocument/2006/relationships/hyperlink" Target="#'Organigram&#259;'!A1" TargetMode="External" Id="rId13" /><Relationship Type="http://schemas.openxmlformats.org/officeDocument/2006/relationships/hyperlink" Target="#'Istoric'!A1" TargetMode="External" Id="rId14" /><Relationship Type="http://schemas.openxmlformats.org/officeDocument/2006/relationships/hyperlink" Target="#'Configurare'!A1" TargetMode="External" Id="rId15" /><Relationship Type="http://schemas.openxmlformats.org/officeDocument/2006/relationships/drawing" Target="/xl/drawings/drawing1.xml" Id="rId16" /></Relationships>
</file>

<file path=xl/worksheets/sheet1.xml><?xml version="1.0" encoding="utf-8"?>
<worksheet xmlns="http://schemas.openxmlformats.org/spreadsheetml/2006/main">
  <sheetPr>
    <tabColor rgb="000D3B66"/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8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s="1" t="inlineStr">
        <is>
          <t>ERP - MODUL HR | DASHBOARD MANAGEMENT PERSONAL</t>
        </is>
      </c>
    </row>
    <row r="2"/>
    <row r="4">
      <c r="A4" s="2" t="inlineStr">
        <is>
          <t>Total Angajați</t>
        </is>
      </c>
      <c r="C4" s="3" t="inlineStr">
        <is>
          <t>Angajați Activi</t>
        </is>
      </c>
      <c r="E4" s="4" t="inlineStr">
        <is>
          <t>Concedii Active</t>
        </is>
      </c>
      <c r="G4" s="5" t="inlineStr">
        <is>
          <t>Posturi Deschise</t>
        </is>
      </c>
      <c r="I4" s="2" t="inlineStr">
        <is>
          <t>Fond Salarii Lunar</t>
        </is>
      </c>
      <c r="K4" s="6" t="inlineStr">
        <is>
          <t>Cost Total Angajator</t>
        </is>
      </c>
    </row>
    <row r="5">
      <c r="A5" s="7">
        <f>COUNTA('Angajați'!A3:A1000)</f>
        <v/>
      </c>
      <c r="C5" s="8">
        <f>COUNTIF('Angajați'!O3:O1000,"Activ")</f>
        <v/>
      </c>
      <c r="E5" s="9">
        <f>COUNTIFS(Concedii!H3:H1000,"Aprobat",Concedii!E3:E1000,"&lt;="&amp;TODAY(),Concedii!F3:F1000,"&gt;="&amp;TODAY())</f>
        <v/>
      </c>
      <c r="G5" s="10">
        <f>COUNTIFS(Recrutare!J3:J1000,"&lt;&gt;Angajat",Recrutare!J3:J1000,"&lt;&gt;Respins",Recrutare!J3:J1000,"&lt;&gt;Retras",Recrutare!J3:J1000,"&lt;&gt;")</f>
        <v/>
      </c>
      <c r="I5" s="11">
        <f>SUM(Salarizare!V3:V100)</f>
        <v/>
      </c>
      <c r="K5" s="12">
        <f>SUM(Salarizare!X3:X100)</f>
        <v/>
      </c>
    </row>
    <row r="6"/>
    <row r="8">
      <c r="A8" s="13" t="inlineStr">
        <is>
          <t>ANGAJAȚI PE DEPARTAMENT</t>
        </is>
      </c>
    </row>
    <row r="9">
      <c r="A9" s="14" t="inlineStr">
        <is>
          <t>Departament</t>
        </is>
      </c>
      <c r="B9" s="14" t="inlineStr">
        <is>
          <t>Nr. Angajați</t>
        </is>
      </c>
    </row>
    <row r="10">
      <c r="A10">
        <f>IF(Departamente!B3&lt;&gt;"",Departamente!B3,"")</f>
        <v/>
      </c>
      <c r="B10">
        <f>IF(A10&lt;&gt;"",Departamente!F3,0)</f>
        <v/>
      </c>
    </row>
    <row r="11">
      <c r="A11">
        <f>IF(Departamente!B4&lt;&gt;"",Departamente!B4,"")</f>
        <v/>
      </c>
      <c r="B11">
        <f>IF(A11&lt;&gt;"",Departamente!F4,0)</f>
        <v/>
      </c>
    </row>
    <row r="12">
      <c r="A12">
        <f>IF(Departamente!B5&lt;&gt;"",Departamente!B5,"")</f>
        <v/>
      </c>
      <c r="B12">
        <f>IF(A12&lt;&gt;"",Departamente!F5,0)</f>
        <v/>
      </c>
    </row>
    <row r="13">
      <c r="A13">
        <f>IF(Departamente!B6&lt;&gt;"",Departamente!B6,"")</f>
        <v/>
      </c>
      <c r="B13">
        <f>IF(A13&lt;&gt;"",Departamente!F6,0)</f>
        <v/>
      </c>
    </row>
    <row r="14">
      <c r="A14">
        <f>IF(Departamente!B7&lt;&gt;"",Departamente!B7,"")</f>
        <v/>
      </c>
      <c r="B14">
        <f>IF(A14&lt;&gt;"",Departamente!F7,0)</f>
        <v/>
      </c>
    </row>
    <row r="15">
      <c r="A15">
        <f>IF(Departamente!B8&lt;&gt;"",Departamente!B8,"")</f>
        <v/>
      </c>
      <c r="B15">
        <f>IF(A15&lt;&gt;"",Departamente!F8,0)</f>
        <v/>
      </c>
    </row>
    <row r="16">
      <c r="A16">
        <f>IF(Departamente!B9&lt;&gt;"",Departamente!B9,"")</f>
        <v/>
      </c>
      <c r="B16">
        <f>IF(A16&lt;&gt;"",Departamente!F9,0)</f>
        <v/>
      </c>
    </row>
    <row r="20">
      <c r="A20" s="15" t="inlineStr">
        <is>
          <t>ALERTE &amp; NOTIFICĂRI</t>
        </is>
      </c>
      <c r="K20" s="16" t="inlineStr">
        <is>
          <t>NAVIGARE RAPIDĂ</t>
        </is>
      </c>
    </row>
    <row r="21">
      <c r="A21" s="17" t="inlineStr">
        <is>
          <t>Contracte care expiră în 30 zile:</t>
        </is>
      </c>
      <c r="C21" s="18">
        <f>COUNTIFS(Contracte!G3:G1000,"&gt;="&amp;TODAY(),Contracte!G3:G1000,"&lt;="&amp;TODAY()+30)</f>
        <v/>
      </c>
      <c r="K21" s="19" t="inlineStr">
        <is>
          <t>→ Angajați</t>
        </is>
      </c>
    </row>
    <row r="22">
      <c r="A22" s="17" t="inlineStr">
        <is>
          <t>Evaluări scadente în 30 zile:</t>
        </is>
      </c>
      <c r="C22" s="18">
        <f>COUNTIFS('Evaluări'!N3:N1000,"&gt;="&amp;TODAY(),'Evaluări'!N3:N1000,"&lt;="&amp;TODAY()+30)</f>
        <v/>
      </c>
      <c r="K22" s="19" t="inlineStr">
        <is>
          <t>→ Contracte</t>
        </is>
      </c>
    </row>
    <row r="23">
      <c r="A23" s="17" t="inlineStr">
        <is>
          <t>Documente expirate:</t>
        </is>
      </c>
      <c r="C23" s="18">
        <f>COUNTIF(Documente!I3:I1000,"Expirat")</f>
        <v/>
      </c>
      <c r="K23" s="19" t="inlineStr">
        <is>
          <t>→ Departamente</t>
        </is>
      </c>
    </row>
    <row r="24">
      <c r="A24" s="17" t="inlineStr">
        <is>
          <t>Certificări care expiră în 90 zile:</t>
        </is>
      </c>
      <c r="C24" s="18">
        <f>COUNTIFS(Training!M3:M1000,"&gt;="&amp;TODAY(),Training!M3:M1000,"&lt;="&amp;TODAY()+90)</f>
        <v/>
      </c>
      <c r="K24" s="19" t="inlineStr">
        <is>
          <t>→ Documente</t>
        </is>
      </c>
    </row>
    <row r="25">
      <c r="A25" s="17" t="inlineStr">
        <is>
          <t>Concedii în așteptare:</t>
        </is>
      </c>
      <c r="C25" s="18">
        <f>COUNTIF(Concedii!H3:H1000,"În Așteptare")</f>
        <v/>
      </c>
      <c r="K25" s="19" t="inlineStr">
        <is>
          <t>→ Pontaj</t>
        </is>
      </c>
    </row>
    <row r="26">
      <c r="A26" s="17" t="inlineStr">
        <is>
          <t>Ore suplimentare nesoluționate:</t>
        </is>
      </c>
      <c r="C26" s="18">
        <f>COUNTIF('Ore Suplimentare'!L3:L1000,"Solicitat")</f>
        <v/>
      </c>
      <c r="K26" s="19" t="inlineStr">
        <is>
          <t>→ Ore Suplimentare</t>
        </is>
      </c>
    </row>
    <row r="27">
      <c r="A27" s="17" t="inlineStr">
        <is>
          <t>Candidați în proces recrutare:</t>
        </is>
      </c>
      <c r="C27" s="18">
        <f>COUNTIFS(Recrutare!J3:J1000,"&lt;&gt;Angajat",Recrutare!J3:J1000,"&lt;&gt;Respins",Recrutare!J3:J1000,"&lt;&gt;Retras",Recrutare!J3:J1000,"&lt;&gt;")</f>
        <v/>
      </c>
      <c r="K27" s="19" t="inlineStr">
        <is>
          <t>→ Concedii</t>
        </is>
      </c>
    </row>
    <row r="28">
      <c r="K28" s="19" t="inlineStr">
        <is>
          <t>→ Salarizare</t>
        </is>
      </c>
    </row>
    <row r="29">
      <c r="K29" s="19" t="inlineStr">
        <is>
          <t>→ Fluturași</t>
        </is>
      </c>
    </row>
    <row r="30">
      <c r="A30" s="16" t="inlineStr">
        <is>
          <t>SUMAR SALARIZARE</t>
        </is>
      </c>
      <c r="K30" s="19" t="inlineStr">
        <is>
          <t>→ Evaluări</t>
        </is>
      </c>
    </row>
    <row r="31">
      <c r="A31" s="20" t="inlineStr">
        <is>
          <t>Total Brut (incl. OS, CO):</t>
        </is>
      </c>
      <c r="C31" s="21">
        <f>SUM(Salarizare!L3:L100)</f>
        <v/>
      </c>
      <c r="K31" s="19" t="inlineStr">
        <is>
          <t>→ Training</t>
        </is>
      </c>
    </row>
    <row r="32">
      <c r="A32" s="20" t="inlineStr">
        <is>
          <t>Total CAS (pensie):</t>
        </is>
      </c>
      <c r="C32" s="21">
        <f>SUM(Salarizare!M3:M100)</f>
        <v/>
      </c>
      <c r="K32" s="19" t="inlineStr">
        <is>
          <t>→ Recrutare</t>
        </is>
      </c>
    </row>
    <row r="33">
      <c r="A33" s="20" t="inlineStr">
        <is>
          <t>Total CASS (sănătate):</t>
        </is>
      </c>
      <c r="C33" s="21">
        <f>SUM(Salarizare!N3:N100)</f>
        <v/>
      </c>
      <c r="K33" s="19" t="inlineStr">
        <is>
          <t>→ Organigramă</t>
        </is>
      </c>
    </row>
    <row r="34">
      <c r="A34" s="20" t="inlineStr">
        <is>
          <t>Total Impozit:</t>
        </is>
      </c>
      <c r="C34" s="21">
        <f>SUM(Salarizare!R3:R100)</f>
        <v/>
      </c>
      <c r="K34" s="19" t="inlineStr">
        <is>
          <t>→ Istoric</t>
        </is>
      </c>
    </row>
    <row r="35">
      <c r="A35" s="20" t="inlineStr">
        <is>
          <t>Total Rețineri:</t>
        </is>
      </c>
      <c r="C35" s="21">
        <f>SUM(Salarizare!U3:U100)</f>
        <v/>
      </c>
      <c r="K35" s="19" t="inlineStr">
        <is>
          <t>→ Configurare</t>
        </is>
      </c>
    </row>
    <row r="36">
      <c r="A36" s="20" t="inlineStr">
        <is>
          <t>Total Salarii Nete:</t>
        </is>
      </c>
      <c r="C36" s="21">
        <f>SUM(Salarizare!V3:V100)</f>
        <v/>
      </c>
    </row>
    <row r="37">
      <c r="A37" s="20" t="inlineStr">
        <is>
          <t>Total CAM (angajator):</t>
        </is>
      </c>
      <c r="C37" s="21">
        <f>SUM(Salarizare!W3:W100)</f>
        <v/>
      </c>
    </row>
    <row r="38">
      <c r="A38" s="20" t="inlineStr">
        <is>
          <t>Cost Total Companie:</t>
        </is>
      </c>
      <c r="C38" s="21">
        <f>SUM(Salarizare!X3:X100)</f>
        <v/>
      </c>
    </row>
  </sheetData>
  <mergeCells count="16">
    <mergeCell ref="A4:B4"/>
    <mergeCell ref="G4:H4"/>
    <mergeCell ref="E4:F4"/>
    <mergeCell ref="I4:J4"/>
    <mergeCell ref="K20:L20"/>
    <mergeCell ref="A1:L2"/>
    <mergeCell ref="C5:D6"/>
    <mergeCell ref="A5:B6"/>
    <mergeCell ref="G5:H6"/>
    <mergeCell ref="E5:F6"/>
    <mergeCell ref="K5:L6"/>
    <mergeCell ref="I5:J6"/>
    <mergeCell ref="A30:C30"/>
    <mergeCell ref="K4:L4"/>
    <mergeCell ref="A20:C20"/>
    <mergeCell ref="C4:D4"/>
  </mergeCells>
  <hyperlinks>
    <hyperlink xmlns:r="http://schemas.openxmlformats.org/officeDocument/2006/relationships" ref="K21" r:id="rId1"/>
    <hyperlink xmlns:r="http://schemas.openxmlformats.org/officeDocument/2006/relationships" ref="K22" r:id="rId2"/>
    <hyperlink xmlns:r="http://schemas.openxmlformats.org/officeDocument/2006/relationships" ref="K23" r:id="rId3"/>
    <hyperlink xmlns:r="http://schemas.openxmlformats.org/officeDocument/2006/relationships" ref="K24" r:id="rId4"/>
    <hyperlink xmlns:r="http://schemas.openxmlformats.org/officeDocument/2006/relationships" ref="K25" r:id="rId5"/>
    <hyperlink xmlns:r="http://schemas.openxmlformats.org/officeDocument/2006/relationships" ref="K26" r:id="rId6"/>
    <hyperlink xmlns:r="http://schemas.openxmlformats.org/officeDocument/2006/relationships" ref="K27" r:id="rId7"/>
    <hyperlink xmlns:r="http://schemas.openxmlformats.org/officeDocument/2006/relationships" ref="K28" r:id="rId8"/>
    <hyperlink xmlns:r="http://schemas.openxmlformats.org/officeDocument/2006/relationships" ref="K29" r:id="rId9"/>
    <hyperlink xmlns:r="http://schemas.openxmlformats.org/officeDocument/2006/relationships" ref="K30" r:id="rId10"/>
    <hyperlink xmlns:r="http://schemas.openxmlformats.org/officeDocument/2006/relationships" ref="K31" r:id="rId11"/>
    <hyperlink xmlns:r="http://schemas.openxmlformats.org/officeDocument/2006/relationships" ref="K32" r:id="rId12"/>
    <hyperlink xmlns:r="http://schemas.openxmlformats.org/officeDocument/2006/relationships" ref="K33" r:id="rId13"/>
    <hyperlink xmlns:r="http://schemas.openxmlformats.org/officeDocument/2006/relationships" ref="K34" r:id="rId14"/>
    <hyperlink xmlns:r="http://schemas.openxmlformats.org/officeDocument/2006/relationships" ref="K35" r:id="rId15"/>
  </hyperlinks>
  <pageMargins left="0.75" right="0.75" top="1" bottom="1" header="0.5" footer="0.5"/>
  <drawing xmlns:r="http://schemas.openxmlformats.org/officeDocument/2006/relationships" r:id="rId16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R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15" customWidth="1" min="3" max="3"/>
    <col width="16" customWidth="1" min="4" max="4"/>
    <col width="14" customWidth="1" min="5" max="5"/>
    <col width="6" customWidth="1" min="6" max="6"/>
    <col width="30" customWidth="1" min="7" max="7"/>
    <col width="14" customWidth="1" min="8" max="8"/>
    <col width="25" customWidth="1" min="9" max="9"/>
    <col width="14" customWidth="1" min="10" max="10"/>
    <col width="20" customWidth="1" min="11" max="11"/>
    <col width="22" customWidth="1" min="12" max="12"/>
    <col width="18" customWidth="1" min="13" max="13"/>
    <col width="18" customWidth="1" min="14" max="14"/>
    <col width="12" customWidth="1" min="15" max="15"/>
    <col width="14" customWidth="1" min="16" max="16"/>
    <col width="20" customWidth="1" min="17" max="17"/>
    <col width="25" customWidth="1" min="18" max="18"/>
  </cols>
  <sheetData>
    <row r="1">
      <c r="A1" s="22" t="inlineStr">
        <is>
          <t>EVIDENȚA ANGAJAȚILOR</t>
        </is>
      </c>
    </row>
    <row r="2">
      <c r="A2" s="23" t="inlineStr">
        <is>
          <t>ID</t>
        </is>
      </c>
      <c r="B2" s="23" t="inlineStr">
        <is>
          <t>Nume</t>
        </is>
      </c>
      <c r="C2" s="23" t="inlineStr">
        <is>
          <t>Prenume</t>
        </is>
      </c>
      <c r="D2" s="23" t="inlineStr">
        <is>
          <t>CNP</t>
        </is>
      </c>
      <c r="E2" s="23" t="inlineStr">
        <is>
          <t>Data Nașterii</t>
        </is>
      </c>
      <c r="F2" s="23" t="inlineStr">
        <is>
          <t>Sex</t>
        </is>
      </c>
      <c r="G2" s="23" t="inlineStr">
        <is>
          <t>Adresă</t>
        </is>
      </c>
      <c r="H2" s="23" t="inlineStr">
        <is>
          <t>Telefon</t>
        </is>
      </c>
      <c r="I2" s="23" t="inlineStr">
        <is>
          <t>Email</t>
        </is>
      </c>
      <c r="J2" s="23" t="inlineStr">
        <is>
          <t>Data Angajării</t>
        </is>
      </c>
      <c r="K2" s="23" t="inlineStr">
        <is>
          <t>Departament</t>
        </is>
      </c>
      <c r="L2" s="23" t="inlineStr">
        <is>
          <t>Funcție</t>
        </is>
      </c>
      <c r="M2" s="23" t="inlineStr">
        <is>
          <t>Manager Direct</t>
        </is>
      </c>
      <c r="N2" s="23" t="inlineStr">
        <is>
          <t>Tip Contract</t>
        </is>
      </c>
      <c r="O2" s="23" t="inlineStr">
        <is>
          <t>Status</t>
        </is>
      </c>
      <c r="P2" s="23" t="inlineStr">
        <is>
          <t>Data Ieșire</t>
        </is>
      </c>
      <c r="Q2" s="23" t="inlineStr">
        <is>
          <t>Motiv Ieșire</t>
        </is>
      </c>
      <c r="R2" s="23" t="inlineStr">
        <is>
          <t>Observații</t>
        </is>
      </c>
    </row>
    <row r="3">
      <c r="A3" s="24" t="inlineStr">
        <is>
          <t>A001</t>
        </is>
      </c>
      <c r="B3" s="24" t="inlineStr">
        <is>
          <t>Popescu</t>
        </is>
      </c>
      <c r="C3" s="24" t="inlineStr">
        <is>
          <t>Ion</t>
        </is>
      </c>
      <c r="D3" s="24" t="inlineStr">
        <is>
          <t>1800515400123</t>
        </is>
      </c>
      <c r="E3" s="25" t="n">
        <v>29356</v>
      </c>
      <c r="F3" s="24" t="inlineStr">
        <is>
          <t>M</t>
        </is>
      </c>
      <c r="G3" s="24" t="inlineStr">
        <is>
          <t>Str. Victoriei 10, București</t>
        </is>
      </c>
      <c r="H3" s="24" t="inlineStr">
        <is>
          <t>0721000001</t>
        </is>
      </c>
      <c r="I3" s="24" t="inlineStr">
        <is>
          <t>ion.popescu@company.ro</t>
        </is>
      </c>
      <c r="J3" s="25" t="n">
        <v>42064</v>
      </c>
      <c r="K3" s="24" t="inlineStr">
        <is>
          <t>Management</t>
        </is>
      </c>
      <c r="L3" s="24" t="inlineStr">
        <is>
          <t>Director General</t>
        </is>
      </c>
      <c r="M3" s="24" t="inlineStr">
        <is>
          <t>-</t>
        </is>
      </c>
      <c r="N3" s="24" t="inlineStr">
        <is>
          <t>CIM Nedeterminat</t>
        </is>
      </c>
      <c r="O3" s="24" t="inlineStr">
        <is>
          <t>Activ</t>
        </is>
      </c>
      <c r="P3" s="24" t="n"/>
      <c r="Q3" s="24" t="n"/>
      <c r="R3" s="24" t="n"/>
    </row>
    <row r="4">
      <c r="A4" s="26" t="inlineStr">
        <is>
          <t>A002</t>
        </is>
      </c>
      <c r="B4" s="26" t="inlineStr">
        <is>
          <t>Ionescu</t>
        </is>
      </c>
      <c r="C4" s="26" t="inlineStr">
        <is>
          <t>Maria</t>
        </is>
      </c>
      <c r="D4" s="26" t="inlineStr">
        <is>
          <t>2850720400234</t>
        </is>
      </c>
      <c r="E4" s="27" t="n">
        <v>31248</v>
      </c>
      <c r="F4" s="26" t="inlineStr">
        <is>
          <t>F</t>
        </is>
      </c>
      <c r="G4" s="26" t="inlineStr">
        <is>
          <t>Bd. Unirii 25, București</t>
        </is>
      </c>
      <c r="H4" s="26" t="inlineStr">
        <is>
          <t>0721000002</t>
        </is>
      </c>
      <c r="I4" s="26" t="inlineStr">
        <is>
          <t>maria.ionescu@company.ro</t>
        </is>
      </c>
      <c r="J4" s="27" t="n">
        <v>42901</v>
      </c>
      <c r="K4" s="26" t="inlineStr">
        <is>
          <t>IT &amp; Dezvoltare</t>
        </is>
      </c>
      <c r="L4" s="26" t="inlineStr">
        <is>
          <t>Team Lead Dezvoltare</t>
        </is>
      </c>
      <c r="M4" s="26" t="inlineStr">
        <is>
          <t>Popescu Ion</t>
        </is>
      </c>
      <c r="N4" s="26" t="inlineStr">
        <is>
          <t>CIM Nedeterminat</t>
        </is>
      </c>
      <c r="O4" s="26" t="inlineStr">
        <is>
          <t>Activ</t>
        </is>
      </c>
      <c r="P4" s="26" t="n"/>
      <c r="Q4" s="26" t="n"/>
      <c r="R4" s="26" t="n"/>
    </row>
    <row r="5">
      <c r="A5" s="24" t="inlineStr">
        <is>
          <t>A003</t>
        </is>
      </c>
      <c r="B5" s="24" t="inlineStr">
        <is>
          <t>Georgescu</t>
        </is>
      </c>
      <c r="C5" s="24" t="inlineStr">
        <is>
          <t>Ana</t>
        </is>
      </c>
      <c r="D5" s="24" t="inlineStr">
        <is>
          <t>2900312400345</t>
        </is>
      </c>
      <c r="E5" s="25" t="n">
        <v>32944</v>
      </c>
      <c r="F5" s="24" t="inlineStr">
        <is>
          <t>F</t>
        </is>
      </c>
      <c r="G5" s="24" t="inlineStr">
        <is>
          <t>Str. Florilor 5, București</t>
        </is>
      </c>
      <c r="H5" s="24" t="inlineStr">
        <is>
          <t>0721000003</t>
        </is>
      </c>
      <c r="I5" s="24" t="inlineStr">
        <is>
          <t>ana.georgescu@company.ro</t>
        </is>
      </c>
      <c r="J5" s="25" t="n">
        <v>43475</v>
      </c>
      <c r="K5" s="24" t="inlineStr">
        <is>
          <t>Resurse Umane</t>
        </is>
      </c>
      <c r="L5" s="24" t="inlineStr">
        <is>
          <t>Specialist HR</t>
        </is>
      </c>
      <c r="M5" s="24" t="inlineStr">
        <is>
          <t>Popescu Ion</t>
        </is>
      </c>
      <c r="N5" s="24" t="inlineStr">
        <is>
          <t>CIM Nedeterminat</t>
        </is>
      </c>
      <c r="O5" s="24" t="inlineStr">
        <is>
          <t>Activ</t>
        </is>
      </c>
      <c r="P5" s="24" t="n"/>
      <c r="Q5" s="24" t="n"/>
      <c r="R5" s="24" t="n"/>
    </row>
    <row r="6">
      <c r="A6" s="26" t="inlineStr">
        <is>
          <t>A004</t>
        </is>
      </c>
      <c r="B6" s="26" t="inlineStr">
        <is>
          <t>Dumitrescu</t>
        </is>
      </c>
      <c r="C6" s="26" t="inlineStr">
        <is>
          <t>Pavel</t>
        </is>
      </c>
      <c r="D6" s="26" t="inlineStr">
        <is>
          <t>1880225400456</t>
        </is>
      </c>
      <c r="E6" s="27" t="n">
        <v>32198</v>
      </c>
      <c r="F6" s="26" t="inlineStr">
        <is>
          <t>M</t>
        </is>
      </c>
      <c r="G6" s="26" t="inlineStr">
        <is>
          <t>Str. Libertății 18, București</t>
        </is>
      </c>
      <c r="H6" s="26" t="inlineStr">
        <is>
          <t>0721000004</t>
        </is>
      </c>
      <c r="I6" s="26" t="inlineStr">
        <is>
          <t>pavel.dumitrescu@company.ro</t>
        </is>
      </c>
      <c r="J6" s="27" t="n">
        <v>42614</v>
      </c>
      <c r="K6" s="26" t="inlineStr">
        <is>
          <t>Financiar-Contabil</t>
        </is>
      </c>
      <c r="L6" s="26" t="inlineStr">
        <is>
          <t>Contabil</t>
        </is>
      </c>
      <c r="M6" s="26" t="inlineStr">
        <is>
          <t>Popescu Ion</t>
        </is>
      </c>
      <c r="N6" s="26" t="inlineStr">
        <is>
          <t>CIM Nedeterminat</t>
        </is>
      </c>
      <c r="O6" s="26" t="inlineStr">
        <is>
          <t>Activ</t>
        </is>
      </c>
      <c r="P6" s="26" t="n"/>
      <c r="Q6" s="26" t="n"/>
      <c r="R6" s="26" t="n"/>
    </row>
    <row r="7">
      <c r="A7" s="24" t="inlineStr">
        <is>
          <t>A005</t>
        </is>
      </c>
      <c r="B7" s="24" t="inlineStr">
        <is>
          <t>Marinescu</t>
        </is>
      </c>
      <c r="C7" s="24" t="inlineStr">
        <is>
          <t>Elena</t>
        </is>
      </c>
      <c r="D7" s="24" t="inlineStr">
        <is>
          <t>2920618400567</t>
        </is>
      </c>
      <c r="E7" s="25" t="n">
        <v>33773</v>
      </c>
      <c r="F7" s="24" t="inlineStr">
        <is>
          <t>F</t>
        </is>
      </c>
      <c r="G7" s="24" t="inlineStr">
        <is>
          <t>Str. Primăverii 30, Cluj-Napoca</t>
        </is>
      </c>
      <c r="H7" s="24" t="inlineStr">
        <is>
          <t>0721000005</t>
        </is>
      </c>
      <c r="I7" s="24" t="inlineStr">
        <is>
          <t>elena.marinescu@company.ro</t>
        </is>
      </c>
      <c r="J7" s="25" t="n">
        <v>43862</v>
      </c>
      <c r="K7" s="24" t="inlineStr">
        <is>
          <t>Vânzări</t>
        </is>
      </c>
      <c r="L7" s="24" t="inlineStr">
        <is>
          <t>Manager Vânzări</t>
        </is>
      </c>
      <c r="M7" s="24" t="inlineStr">
        <is>
          <t>Popescu Ion</t>
        </is>
      </c>
      <c r="N7" s="24" t="inlineStr">
        <is>
          <t>CIM Nedeterminat</t>
        </is>
      </c>
      <c r="O7" s="24" t="inlineStr">
        <is>
          <t>Activ</t>
        </is>
      </c>
      <c r="P7" s="24" t="n"/>
      <c r="Q7" s="24" t="n"/>
      <c r="R7" s="24" t="n"/>
    </row>
  </sheetData>
  <autoFilter ref="A2:R2"/>
  <mergeCells count="1">
    <mergeCell ref="A1:R1"/>
  </mergeCells>
  <conditionalFormatting sqref="O3:O1000">
    <cfRule type="cellIs" priority="1" operator="equal" dxfId="0">
      <formula>"Activ"</formula>
    </cfRule>
    <cfRule type="cellIs" priority="2" operator="equal" dxfId="1">
      <formula>"Inactiv"</formula>
    </cfRule>
    <cfRule type="cellIs" priority="3" operator="equal" dxfId="2">
      <formula>"Suspendat"</formula>
    </cfRule>
  </conditionalFormatting>
  <dataValidations count="5">
    <dataValidation sqref="F3:F1000" showDropDown="0" showInputMessage="1" showErrorMessage="1" allowBlank="1" errorTitle="Eroare Validare" error="Valoare invalidă! Selectați din lista disponibilă." promptTitle="Selectare" prompt="Selectați o opțiune din listă" type="list">
      <formula1>"M,F"</formula1>
    </dataValidation>
    <dataValidation sqref="K3:K1000" showDropDown="0" showInputMessage="1" showErrorMessage="1" allowBlank="1" errorTitle="Eroare Validare" error="Valoare invalidă! Selectați din lista disponibilă." promptTitle="Selectare" prompt="Selectați o opțiune din listă" type="list">
      <formula1>=Departamente!$B$3:$B$50</formula1>
    </dataValidation>
    <dataValidation sqref="L3:L1000" showDropDown="0" showInputMessage="1" showErrorMessage="1" allowBlank="1" errorTitle="Eroare Validare" error="Valoare invalidă! Selectați din lista disponibilă." promptTitle="Selectare" prompt="Selectați o opțiune din listă" type="list">
      <formula1>=Departamente!$I$3:$I$50</formula1>
    </dataValidation>
    <dataValidation sqref="N3:N1000" showDropDown="0" showInputMessage="1" showErrorMessage="1" allowBlank="1" errorTitle="Eroare Validare" error="Valoare invalidă! Selectați din lista disponibilă." promptTitle="Selectare" prompt="Selectați o opțiune din listă" type="list">
      <formula1>"CIM Nedeterminat,CIM Determinat,Part-time,Convenție Civilă,Internship"</formula1>
    </dataValidation>
    <dataValidation sqref="O3:O1000" showDropDown="0" showInputMessage="1" showErrorMessage="1" allowBlank="1" errorTitle="Eroare Validare" error="Valoare invalidă! Selectați din lista disponibilă." promptTitle="Selectare" prompt="Selectați o opțiune din listă" type="list">
      <formula1>"Activ,Inactiv,Suspendat"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B9BD5"/>
    <outlinePr summaryBelow="1" summaryRight="1"/>
    <pageSetUpPr/>
  </sheetPr>
  <dimension ref="A1:L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0" customWidth="1" min="4" max="4"/>
    <col width="16" customWidth="1" min="5" max="5"/>
    <col width="14" customWidth="1" min="6" max="6"/>
    <col width="14" customWidth="1" min="7" max="7"/>
    <col width="14" customWidth="1" min="8" max="8"/>
    <col width="18" customWidth="1" min="9" max="9"/>
    <col width="25" customWidth="1" min="10" max="10"/>
    <col width="12" customWidth="1" min="11" max="11"/>
    <col width="20" customWidth="1" min="12" max="12"/>
  </cols>
  <sheetData>
    <row r="1">
      <c r="A1" s="22" t="inlineStr">
        <is>
          <t>CONTRACTE DE MUNCĂ</t>
        </is>
      </c>
    </row>
    <row r="2">
      <c r="A2" s="23" t="inlineStr">
        <is>
          <t>ID Contract</t>
        </is>
      </c>
      <c r="B2" s="23" t="inlineStr">
        <is>
          <t>ID Angajat</t>
        </is>
      </c>
      <c r="C2" s="23" t="inlineStr">
        <is>
          <t>Nume Angajat</t>
        </is>
      </c>
      <c r="D2" s="23" t="inlineStr">
        <is>
          <t>Tip Contract</t>
        </is>
      </c>
      <c r="E2" s="23" t="inlineStr">
        <is>
          <t>Număr Contract</t>
        </is>
      </c>
      <c r="F2" s="23" t="inlineStr">
        <is>
          <t>Data Început</t>
        </is>
      </c>
      <c r="G2" s="23" t="inlineStr">
        <is>
          <t>Data Sfârșit</t>
        </is>
      </c>
      <c r="H2" s="23" t="inlineStr">
        <is>
          <t>Normă (ore/zi)</t>
        </is>
      </c>
      <c r="I2" s="23" t="inlineStr">
        <is>
          <t>Salariu Brut (RON)</t>
        </is>
      </c>
      <c r="J2" s="23" t="inlineStr">
        <is>
          <t>Clauze Speciale</t>
        </is>
      </c>
      <c r="K2" s="23" t="inlineStr">
        <is>
          <t>Status</t>
        </is>
      </c>
      <c r="L2" s="23" t="inlineStr">
        <is>
          <t>Acte Adiționale</t>
        </is>
      </c>
    </row>
    <row r="3">
      <c r="A3" s="24" t="inlineStr">
        <is>
          <t>C001</t>
        </is>
      </c>
      <c r="B3" s="24" t="inlineStr">
        <is>
          <t>A001</t>
        </is>
      </c>
      <c r="C3" s="24">
        <f>IFERROR(VLOOKUP(B3,'Angajați'!$A:$C,2,0)&amp;" "&amp;VLOOKUP(B3,'Angajați'!$A:$C,3,0),"N/A")</f>
        <v/>
      </c>
      <c r="D3" s="24" t="inlineStr">
        <is>
          <t>CIM Nedeterminat</t>
        </is>
      </c>
      <c r="E3" s="24" t="inlineStr">
        <is>
          <t>CIM-001/2015</t>
        </is>
      </c>
      <c r="F3" s="25" t="n">
        <v>42064</v>
      </c>
      <c r="G3" s="24" t="n"/>
      <c r="H3" s="24" t="n">
        <v>8</v>
      </c>
      <c r="I3" s="28" t="n">
        <v>25000</v>
      </c>
      <c r="J3" s="24" t="inlineStr">
        <is>
          <t>Clauză confidențialitate</t>
        </is>
      </c>
      <c r="K3" s="24" t="inlineStr">
        <is>
          <t>Activ</t>
        </is>
      </c>
      <c r="L3" s="24" t="inlineStr"/>
    </row>
    <row r="4">
      <c r="A4" s="26" t="inlineStr">
        <is>
          <t>C002</t>
        </is>
      </c>
      <c r="B4" s="26" t="inlineStr">
        <is>
          <t>A002</t>
        </is>
      </c>
      <c r="C4" s="26">
        <f>IFERROR(VLOOKUP(B4,'Angajați'!$A:$C,2,0)&amp;" "&amp;VLOOKUP(B4,'Angajați'!$A:$C,3,0),"N/A")</f>
        <v/>
      </c>
      <c r="D4" s="26" t="inlineStr">
        <is>
          <t>CIM Nedeterminat</t>
        </is>
      </c>
      <c r="E4" s="26" t="inlineStr">
        <is>
          <t>CIM-002/2017</t>
        </is>
      </c>
      <c r="F4" s="27" t="n">
        <v>42901</v>
      </c>
      <c r="G4" s="26" t="n"/>
      <c r="H4" s="26" t="n">
        <v>8</v>
      </c>
      <c r="I4" s="29" t="n">
        <v>14000</v>
      </c>
      <c r="J4" s="26" t="inlineStr"/>
      <c r="K4" s="26" t="inlineStr">
        <is>
          <t>Activ</t>
        </is>
      </c>
      <c r="L4" s="26" t="inlineStr">
        <is>
          <t>AA1 - mărire salariu 01.2024</t>
        </is>
      </c>
    </row>
    <row r="5">
      <c r="A5" s="24" t="inlineStr">
        <is>
          <t>C003</t>
        </is>
      </c>
      <c r="B5" s="24" t="inlineStr">
        <is>
          <t>A003</t>
        </is>
      </c>
      <c r="C5" s="24">
        <f>IFERROR(VLOOKUP(B5,'Angajați'!$A:$C,2,0)&amp;" "&amp;VLOOKUP(B5,'Angajați'!$A:$C,3,0),"N/A")</f>
        <v/>
      </c>
      <c r="D5" s="24" t="inlineStr">
        <is>
          <t>CIM Nedeterminat</t>
        </is>
      </c>
      <c r="E5" s="24" t="inlineStr">
        <is>
          <t>CIM-003/2019</t>
        </is>
      </c>
      <c r="F5" s="25" t="n">
        <v>43475</v>
      </c>
      <c r="G5" s="24" t="n"/>
      <c r="H5" s="24" t="n">
        <v>8</v>
      </c>
      <c r="I5" s="28" t="n">
        <v>7500</v>
      </c>
      <c r="J5" s="24" t="inlineStr"/>
      <c r="K5" s="24" t="inlineStr">
        <is>
          <t>Activ</t>
        </is>
      </c>
      <c r="L5" s="24" t="inlineStr"/>
    </row>
    <row r="6">
      <c r="A6" s="26" t="inlineStr">
        <is>
          <t>C004</t>
        </is>
      </c>
      <c r="B6" s="26" t="inlineStr">
        <is>
          <t>A004</t>
        </is>
      </c>
      <c r="C6" s="26">
        <f>IFERROR(VLOOKUP(B6,'Angajați'!$A:$C,2,0)&amp;" "&amp;VLOOKUP(B6,'Angajați'!$A:$C,3,0),"N/A")</f>
        <v/>
      </c>
      <c r="D6" s="26" t="inlineStr">
        <is>
          <t>CIM Nedeterminat</t>
        </is>
      </c>
      <c r="E6" s="26" t="inlineStr">
        <is>
          <t>CIM-004/2016</t>
        </is>
      </c>
      <c r="F6" s="27" t="n">
        <v>42614</v>
      </c>
      <c r="G6" s="26" t="n"/>
      <c r="H6" s="26" t="n">
        <v>8</v>
      </c>
      <c r="I6" s="29" t="n">
        <v>9000</v>
      </c>
      <c r="J6" s="26" t="inlineStr">
        <is>
          <t>Clauză neconcurență</t>
        </is>
      </c>
      <c r="K6" s="26" t="inlineStr">
        <is>
          <t>Activ</t>
        </is>
      </c>
      <c r="L6" s="26" t="inlineStr"/>
    </row>
    <row r="7">
      <c r="A7" s="24" t="inlineStr">
        <is>
          <t>C005</t>
        </is>
      </c>
      <c r="B7" s="24" t="inlineStr">
        <is>
          <t>A005</t>
        </is>
      </c>
      <c r="C7" s="24">
        <f>IFERROR(VLOOKUP(B7,'Angajați'!$A:$C,2,0)&amp;" "&amp;VLOOKUP(B7,'Angajați'!$A:$C,3,0),"N/A")</f>
        <v/>
      </c>
      <c r="D7" s="24" t="inlineStr">
        <is>
          <t>CIM Nedeterminat</t>
        </is>
      </c>
      <c r="E7" s="24" t="inlineStr">
        <is>
          <t>CIM-005/2020</t>
        </is>
      </c>
      <c r="F7" s="25" t="n">
        <v>43862</v>
      </c>
      <c r="G7" s="24" t="n"/>
      <c r="H7" s="24" t="n">
        <v>8</v>
      </c>
      <c r="I7" s="28" t="n">
        <v>12000</v>
      </c>
      <c r="J7" s="24" t="inlineStr"/>
      <c r="K7" s="24" t="inlineStr">
        <is>
          <t>Activ</t>
        </is>
      </c>
      <c r="L7" s="24" t="inlineStr"/>
    </row>
  </sheetData>
  <autoFilter ref="A2:L2"/>
  <mergeCells count="1">
    <mergeCell ref="A1:L1"/>
  </mergeCells>
  <conditionalFormatting sqref="K3:K1000">
    <cfRule type="cellIs" priority="1" operator="equal" dxfId="0">
      <formula>"Activ"</formula>
    </cfRule>
    <cfRule type="cellIs" priority="2" operator="equal" dxfId="1">
      <formula>"Inactiv"</formula>
    </cfRule>
    <cfRule type="cellIs" priority="3" operator="equal" dxfId="2">
      <formula>"Suspendat"</formula>
    </cfRule>
  </conditionalFormatting>
  <conditionalFormatting sqref="G3:G1000">
    <cfRule type="expression" priority="4" dxfId="3">
      <formula>AND(G3&lt;&gt;"",G3&lt;TODAY())</formula>
    </cfRule>
    <cfRule type="expression" priority="5" dxfId="4">
      <formula>AND(G3&lt;&gt;"",G3&gt;=TODAY(),G3&lt;=TODAY()+30)</formula>
    </cfRule>
  </conditionalFormatting>
  <dataValidations count="2">
    <dataValidation sqref="D3:D1000" showDropDown="0" showInputMessage="1" showErrorMessage="1" allowBlank="1" errorTitle="Eroare Validare" error="Valoare invalidă! Selectați din lista disponibilă." promptTitle="Selectare" prompt="Selectați o opțiune din listă" type="list">
      <formula1>"CIM Nedeterminat,CIM Determinat,Part-time,Convenție Civilă,Internship"</formula1>
    </dataValidation>
    <dataValidation sqref="K3:K1000" showDropDown="0" showInputMessage="1" showErrorMessage="1" allowBlank="1" errorTitle="Eroare Validare" error="Valoare invalidă! Selectați din lista disponibilă." promptTitle="Selectare" prompt="Selectați o opțiune din listă" type="list">
      <formula1>"Activ,Inactiv,Suspendat"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AD47"/>
    <outlinePr summaryBelow="1" summaryRight="1"/>
    <pageSetUpPr/>
  </sheetPr>
  <dimension ref="A1:M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20" customWidth="1" min="3" max="3"/>
    <col width="18" customWidth="1" min="4" max="4"/>
    <col width="18" customWidth="1" min="5" max="5"/>
    <col width="14" customWidth="1" min="6" max="6"/>
    <col width="8" customWidth="1" min="8" max="8"/>
    <col width="25" customWidth="1" min="9" max="9"/>
    <col width="20" customWidth="1" min="10" max="10"/>
    <col width="12" customWidth="1" min="11" max="11"/>
    <col width="18" customWidth="1" min="12" max="12"/>
    <col width="18" customWidth="1" min="13" max="13"/>
  </cols>
  <sheetData>
    <row r="1">
      <c r="A1" s="22" t="inlineStr">
        <is>
          <t>DEPARTAMENTE</t>
        </is>
      </c>
      <c r="H1" s="22" t="inlineStr">
        <is>
          <t>FUNCȚII / POSTURI</t>
        </is>
      </c>
    </row>
    <row r="2">
      <c r="A2" s="23" t="inlineStr">
        <is>
          <t>ID</t>
        </is>
      </c>
      <c r="B2" s="23" t="inlineStr">
        <is>
          <t>Denumire Departament</t>
        </is>
      </c>
      <c r="C2" s="23" t="inlineStr">
        <is>
          <t>Manager</t>
        </is>
      </c>
      <c r="D2" s="23" t="inlineStr">
        <is>
          <t>Locație</t>
        </is>
      </c>
      <c r="E2" s="23" t="inlineStr">
        <is>
          <t>Buget Lunar (RON)</t>
        </is>
      </c>
      <c r="F2" s="23" t="inlineStr">
        <is>
          <t>Nr. Angajați</t>
        </is>
      </c>
      <c r="H2" s="23" t="inlineStr">
        <is>
          <t>ID</t>
        </is>
      </c>
      <c r="I2" s="23" t="inlineStr">
        <is>
          <t>Denumire Funcție</t>
        </is>
      </c>
      <c r="J2" s="23" t="inlineStr">
        <is>
          <t>Departament</t>
        </is>
      </c>
      <c r="K2" s="23" t="inlineStr">
        <is>
          <t>Nivel</t>
        </is>
      </c>
      <c r="L2" s="23" t="inlineStr">
        <is>
          <t>Salariu Min (RON)</t>
        </is>
      </c>
      <c r="M2" s="23" t="inlineStr">
        <is>
          <t>Salariu Max (RON)</t>
        </is>
      </c>
    </row>
    <row r="3">
      <c r="A3" s="30" t="inlineStr">
        <is>
          <t>D001</t>
        </is>
      </c>
      <c r="B3" s="30" t="inlineStr">
        <is>
          <t>Management</t>
        </is>
      </c>
      <c r="C3" s="30" t="inlineStr">
        <is>
          <t>Popescu Ion</t>
        </is>
      </c>
      <c r="D3" s="30" t="inlineStr">
        <is>
          <t>București</t>
        </is>
      </c>
      <c r="E3" s="31" t="n">
        <v>50000</v>
      </c>
      <c r="F3" s="32">
        <f>COUNTIF('Angajați'!K:K,B3)</f>
        <v/>
      </c>
      <c r="H3" s="30" t="inlineStr">
        <is>
          <t>F001</t>
        </is>
      </c>
      <c r="I3" s="30" t="inlineStr">
        <is>
          <t>Director General</t>
        </is>
      </c>
      <c r="J3" s="30" t="inlineStr">
        <is>
          <t>Management</t>
        </is>
      </c>
      <c r="K3" s="30" t="inlineStr">
        <is>
          <t>Director</t>
        </is>
      </c>
      <c r="L3" s="31" t="n">
        <v>15000</v>
      </c>
      <c r="M3" s="31" t="n">
        <v>30000</v>
      </c>
    </row>
    <row r="4">
      <c r="A4" s="30" t="inlineStr">
        <is>
          <t>D002</t>
        </is>
      </c>
      <c r="B4" s="30" t="inlineStr">
        <is>
          <t>IT &amp; Dezvoltare</t>
        </is>
      </c>
      <c r="C4" s="30" t="inlineStr">
        <is>
          <t>Ionescu Maria</t>
        </is>
      </c>
      <c r="D4" s="30" t="inlineStr">
        <is>
          <t>București</t>
        </is>
      </c>
      <c r="E4" s="31" t="n">
        <v>120000</v>
      </c>
      <c r="F4" s="32">
        <f>COUNTIF('Angajați'!K:K,B4)</f>
        <v/>
      </c>
      <c r="H4" s="30" t="inlineStr">
        <is>
          <t>F002</t>
        </is>
      </c>
      <c r="I4" s="30" t="inlineStr">
        <is>
          <t>Developer Software</t>
        </is>
      </c>
      <c r="J4" s="30" t="inlineStr">
        <is>
          <t>IT &amp; Dezvoltare</t>
        </is>
      </c>
      <c r="K4" s="30" t="inlineStr">
        <is>
          <t>Mid</t>
        </is>
      </c>
      <c r="L4" s="31" t="n">
        <v>7000</v>
      </c>
      <c r="M4" s="31" t="n">
        <v>14000</v>
      </c>
    </row>
    <row r="5">
      <c r="A5" s="30" t="inlineStr">
        <is>
          <t>D003</t>
        </is>
      </c>
      <c r="B5" s="30" t="inlineStr">
        <is>
          <t>Resurse Umane</t>
        </is>
      </c>
      <c r="C5" s="30" t="inlineStr">
        <is>
          <t>Georgescu Ana</t>
        </is>
      </c>
      <c r="D5" s="30" t="inlineStr">
        <is>
          <t>București</t>
        </is>
      </c>
      <c r="E5" s="31" t="n">
        <v>40000</v>
      </c>
      <c r="F5" s="32">
        <f>COUNTIF('Angajați'!K:K,B5)</f>
        <v/>
      </c>
      <c r="H5" s="30" t="inlineStr">
        <is>
          <t>F003</t>
        </is>
      </c>
      <c r="I5" s="30" t="inlineStr">
        <is>
          <t>Specialist HR</t>
        </is>
      </c>
      <c r="J5" s="30" t="inlineStr">
        <is>
          <t>Resurse Umane</t>
        </is>
      </c>
      <c r="K5" s="30" t="inlineStr">
        <is>
          <t>Mid</t>
        </is>
      </c>
      <c r="L5" s="31" t="n">
        <v>5000</v>
      </c>
      <c r="M5" s="31" t="n">
        <v>9000</v>
      </c>
    </row>
    <row r="6">
      <c r="A6" s="30" t="inlineStr">
        <is>
          <t>D004</t>
        </is>
      </c>
      <c r="B6" s="30" t="inlineStr">
        <is>
          <t>Financiar-Contabil</t>
        </is>
      </c>
      <c r="C6" s="30" t="inlineStr">
        <is>
          <t>Dumitrescu Pavel</t>
        </is>
      </c>
      <c r="D6" s="30" t="inlineStr">
        <is>
          <t>București</t>
        </is>
      </c>
      <c r="E6" s="31" t="n">
        <v>60000</v>
      </c>
      <c r="F6" s="32">
        <f>COUNTIF('Angajați'!K:K,B6)</f>
        <v/>
      </c>
      <c r="H6" s="30" t="inlineStr">
        <is>
          <t>F004</t>
        </is>
      </c>
      <c r="I6" s="30" t="inlineStr">
        <is>
          <t>Contabil</t>
        </is>
      </c>
      <c r="J6" s="30" t="inlineStr">
        <is>
          <t>Financiar-Contabil</t>
        </is>
      </c>
      <c r="K6" s="30" t="inlineStr">
        <is>
          <t>Mid</t>
        </is>
      </c>
      <c r="L6" s="31" t="n">
        <v>5500</v>
      </c>
      <c r="M6" s="31" t="n">
        <v>10000</v>
      </c>
    </row>
    <row r="7">
      <c r="A7" s="30" t="inlineStr">
        <is>
          <t>D005</t>
        </is>
      </c>
      <c r="B7" s="30" t="inlineStr">
        <is>
          <t>Vânzări</t>
        </is>
      </c>
      <c r="C7" s="30" t="inlineStr">
        <is>
          <t>Marinescu Elena</t>
        </is>
      </c>
      <c r="D7" s="30" t="inlineStr">
        <is>
          <t>Cluj-Napoca</t>
        </is>
      </c>
      <c r="E7" s="31" t="n">
        <v>80000</v>
      </c>
      <c r="F7" s="32">
        <f>COUNTIF('Angajați'!K:K,B7)</f>
        <v/>
      </c>
      <c r="H7" s="30" t="inlineStr">
        <is>
          <t>F005</t>
        </is>
      </c>
      <c r="I7" s="30" t="inlineStr">
        <is>
          <t>Manager Vânzări</t>
        </is>
      </c>
      <c r="J7" s="30" t="inlineStr">
        <is>
          <t>Vânzări</t>
        </is>
      </c>
      <c r="K7" s="30" t="inlineStr">
        <is>
          <t>Manager</t>
        </is>
      </c>
      <c r="L7" s="31" t="n">
        <v>8000</v>
      </c>
      <c r="M7" s="31" t="n">
        <v>15000</v>
      </c>
    </row>
    <row r="8">
      <c r="A8" s="30" t="inlineStr">
        <is>
          <t>D006</t>
        </is>
      </c>
      <c r="B8" s="30" t="inlineStr">
        <is>
          <t>Marketing</t>
        </is>
      </c>
      <c r="C8" s="30" t="inlineStr">
        <is>
          <t>Constantinescu Dan</t>
        </is>
      </c>
      <c r="D8" s="30" t="inlineStr">
        <is>
          <t>București</t>
        </is>
      </c>
      <c r="E8" s="31" t="n">
        <v>55000</v>
      </c>
      <c r="F8" s="32">
        <f>COUNTIF('Angajați'!K:K,B8)</f>
        <v/>
      </c>
      <c r="H8" s="30" t="inlineStr">
        <is>
          <t>F006</t>
        </is>
      </c>
      <c r="I8" s="30" t="inlineStr">
        <is>
          <t>Specialist Marketing</t>
        </is>
      </c>
      <c r="J8" s="30" t="inlineStr">
        <is>
          <t>Marketing</t>
        </is>
      </c>
      <c r="K8" s="30" t="inlineStr">
        <is>
          <t>Mid</t>
        </is>
      </c>
      <c r="L8" s="31" t="n">
        <v>5000</v>
      </c>
      <c r="M8" s="31" t="n">
        <v>9000</v>
      </c>
    </row>
    <row r="9">
      <c r="A9" s="30" t="inlineStr">
        <is>
          <t>D007</t>
        </is>
      </c>
      <c r="B9" s="30" t="inlineStr">
        <is>
          <t>Logistică</t>
        </is>
      </c>
      <c r="C9" s="30" t="inlineStr">
        <is>
          <t>Vasilescu Mihai</t>
        </is>
      </c>
      <c r="D9" s="30" t="inlineStr">
        <is>
          <t>Timișoara</t>
        </is>
      </c>
      <c r="E9" s="31" t="n">
        <v>70000</v>
      </c>
      <c r="F9" s="32">
        <f>COUNTIF('Angajați'!K:K,B9)</f>
        <v/>
      </c>
      <c r="H9" s="30" t="inlineStr">
        <is>
          <t>F007</t>
        </is>
      </c>
      <c r="I9" s="30" t="inlineStr">
        <is>
          <t>Operator Logistică</t>
        </is>
      </c>
      <c r="J9" s="30" t="inlineStr">
        <is>
          <t>Logistică</t>
        </is>
      </c>
      <c r="K9" s="30" t="inlineStr">
        <is>
          <t>Junior</t>
        </is>
      </c>
      <c r="L9" s="31" t="n">
        <v>4050</v>
      </c>
      <c r="M9" s="31" t="n">
        <v>6000</v>
      </c>
    </row>
    <row r="10">
      <c r="H10" s="30" t="inlineStr">
        <is>
          <t>F008</t>
        </is>
      </c>
      <c r="I10" s="30" t="inlineStr">
        <is>
          <t>Team Lead Dezvoltare</t>
        </is>
      </c>
      <c r="J10" s="30" t="inlineStr">
        <is>
          <t>IT &amp; Dezvoltare</t>
        </is>
      </c>
      <c r="K10" s="30" t="inlineStr">
        <is>
          <t>Lead</t>
        </is>
      </c>
      <c r="L10" s="31" t="n">
        <v>12000</v>
      </c>
      <c r="M10" s="31" t="n">
        <v>20000</v>
      </c>
    </row>
    <row r="11">
      <c r="H11" s="30" t="inlineStr">
        <is>
          <t>F009</t>
        </is>
      </c>
      <c r="I11" s="30" t="inlineStr">
        <is>
          <t>Analist Business</t>
        </is>
      </c>
      <c r="J11" s="30" t="inlineStr">
        <is>
          <t>IT &amp; Dezvoltare</t>
        </is>
      </c>
      <c r="K11" s="30" t="inlineStr">
        <is>
          <t>Mid</t>
        </is>
      </c>
      <c r="L11" s="31" t="n">
        <v>6000</v>
      </c>
      <c r="M11" s="31" t="n">
        <v>11000</v>
      </c>
    </row>
    <row r="12">
      <c r="H12" s="30" t="inlineStr">
        <is>
          <t>F010</t>
        </is>
      </c>
      <c r="I12" s="30" t="inlineStr">
        <is>
          <t>Asistent Manager</t>
        </is>
      </c>
      <c r="J12" s="30" t="inlineStr">
        <is>
          <t>Management</t>
        </is>
      </c>
      <c r="K12" s="30" t="inlineStr">
        <is>
          <t>Junior</t>
        </is>
      </c>
      <c r="L12" s="31" t="n">
        <v>4500</v>
      </c>
      <c r="M12" s="31" t="n">
        <v>7000</v>
      </c>
    </row>
  </sheetData>
  <mergeCells count="2">
    <mergeCell ref="H1:M1"/>
    <mergeCell ref="A1:F1"/>
  </mergeCells>
  <dataValidations count="2">
    <dataValidation sqref="K3:K100" showDropDown="0" showInputMessage="1" showErrorMessage="1" allowBlank="1" errorTitle="Eroare Validare" error="Valoare invalidă! Selectați din lista disponibilă." promptTitle="Selectare" prompt="Selectați o opțiune din listă" type="list">
      <formula1>"Junior,Mid,Senior,Lead,Manager,Director"</formula1>
    </dataValidation>
    <dataValidation sqref="J3:J100" showDropDown="0" showInputMessage="1" showErrorMessage="1" allowBlank="1" errorTitle="Eroare Validare" error="Valoare invalidă! Selectați din lista disponibilă." promptTitle="Selectare" prompt="Selectați o opțiune din listă" type="list">
      <formula1>=Departamente!$B$3:$B$50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95548"/>
    <outlinePr summaryBelow="1" summaryRight="1"/>
    <pageSetUpPr/>
  </sheetPr>
  <dimension ref="A1:J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0" customWidth="1" min="3" max="3"/>
    <col width="22" customWidth="1" min="4" max="4"/>
    <col width="16" customWidth="1" min="5" max="5"/>
    <col width="14" customWidth="1" min="6" max="6"/>
    <col width="14" customWidth="1" min="7" max="7"/>
    <col width="20" customWidth="1" min="8" max="8"/>
    <col width="14" customWidth="1" min="9" max="9"/>
    <col width="25" customWidth="1" min="10" max="10"/>
  </cols>
  <sheetData>
    <row r="1">
      <c r="A1" s="22" t="inlineStr">
        <is>
          <t>DOCUMENTE ANGAJAȚI</t>
        </is>
      </c>
    </row>
    <row r="2">
      <c r="A2" s="23" t="inlineStr">
        <is>
          <t>ID</t>
        </is>
      </c>
      <c r="B2" s="23" t="inlineStr">
        <is>
          <t>ID Angajat</t>
        </is>
      </c>
      <c r="C2" s="23" t="inlineStr">
        <is>
          <t>Nume Angajat</t>
        </is>
      </c>
      <c r="D2" s="23" t="inlineStr">
        <is>
          <t>Tip Document</t>
        </is>
      </c>
      <c r="E2" s="23" t="inlineStr">
        <is>
          <t>Nr. Document</t>
        </is>
      </c>
      <c r="F2" s="23" t="inlineStr">
        <is>
          <t>Data Emiterii</t>
        </is>
      </c>
      <c r="G2" s="23" t="inlineStr">
        <is>
          <t>Data Expirării</t>
        </is>
      </c>
      <c r="H2" s="23" t="inlineStr">
        <is>
          <t>Emitent</t>
        </is>
      </c>
      <c r="I2" s="23" t="inlineStr">
        <is>
          <t>Status</t>
        </is>
      </c>
      <c r="J2" s="23" t="inlineStr">
        <is>
          <t>Observații</t>
        </is>
      </c>
    </row>
    <row r="3">
      <c r="A3" s="24" t="inlineStr">
        <is>
          <t>DOC001</t>
        </is>
      </c>
      <c r="B3" s="24" t="inlineStr">
        <is>
          <t>A001</t>
        </is>
      </c>
      <c r="C3" s="24">
        <f>IFERROR(VLOOKUP(B3,'Angajați'!$A:$C,2,0)&amp;" "&amp;VLOOKUP(B3,'Angajați'!$A:$C,3,0),"N/A")</f>
        <v/>
      </c>
      <c r="D3" s="24" t="inlineStr">
        <is>
          <t>Carte Identitate</t>
        </is>
      </c>
      <c r="E3" s="24" t="inlineStr">
        <is>
          <t>RX123456</t>
        </is>
      </c>
      <c r="F3" s="25" t="n">
        <v>43961</v>
      </c>
      <c r="G3" s="25" t="n">
        <v>47613</v>
      </c>
      <c r="H3" s="24" t="inlineStr">
        <is>
          <t>SPCLEP Sector 1</t>
        </is>
      </c>
      <c r="I3" s="24">
        <f>IF(G3="","Valid",IF(G3&lt;TODAY(),"Expirat",IF(G3&lt;=TODAY()+30,"Expiră Curând","Valid")))</f>
        <v/>
      </c>
      <c r="J3" s="24" t="inlineStr"/>
    </row>
    <row r="4">
      <c r="A4" s="26" t="inlineStr">
        <is>
          <t>DOC002</t>
        </is>
      </c>
      <c r="B4" s="26" t="inlineStr">
        <is>
          <t>A001</t>
        </is>
      </c>
      <c r="C4" s="26">
        <f>IFERROR(VLOOKUP(B4,'Angajați'!$A:$C,2,0)&amp;" "&amp;VLOOKUP(B4,'Angajați'!$A:$C,3,0),"N/A")</f>
        <v/>
      </c>
      <c r="D4" s="26" t="inlineStr">
        <is>
          <t>Fișa Postului</t>
        </is>
      </c>
      <c r="E4" s="26" t="inlineStr">
        <is>
          <t>FP-001/2015</t>
        </is>
      </c>
      <c r="F4" s="27" t="n">
        <v>42064</v>
      </c>
      <c r="G4" s="26" t="n"/>
      <c r="H4" s="26" t="inlineStr">
        <is>
          <t>SC Example SRL</t>
        </is>
      </c>
      <c r="I4" s="26">
        <f>IF(G4="","Valid",IF(G4&lt;TODAY(),"Expirat",IF(G4&lt;=TODAY()+30,"Expiră Curând","Valid")))</f>
        <v/>
      </c>
      <c r="J4" s="26" t="inlineStr">
        <is>
          <t>Actualizată 2023</t>
        </is>
      </c>
    </row>
    <row r="5">
      <c r="A5" s="24" t="inlineStr">
        <is>
          <t>DOC003</t>
        </is>
      </c>
      <c r="B5" s="24" t="inlineStr">
        <is>
          <t>A002</t>
        </is>
      </c>
      <c r="C5" s="24">
        <f>IFERROR(VLOOKUP(B5,'Angajați'!$A:$C,2,0)&amp;" "&amp;VLOOKUP(B5,'Angajați'!$A:$C,3,0),"N/A")</f>
        <v/>
      </c>
      <c r="D5" s="24" t="inlineStr">
        <is>
          <t>Carte Identitate</t>
        </is>
      </c>
      <c r="E5" s="24" t="inlineStr">
        <is>
          <t>RX234567</t>
        </is>
      </c>
      <c r="F5" s="25" t="n">
        <v>43692</v>
      </c>
      <c r="G5" s="25" t="n">
        <v>47345</v>
      </c>
      <c r="H5" s="24" t="inlineStr">
        <is>
          <t>SPCLEP Sector 2</t>
        </is>
      </c>
      <c r="I5" s="24">
        <f>IF(G5="","Valid",IF(G5&lt;TODAY(),"Expirat",IF(G5&lt;=TODAY()+30,"Expiră Curând","Valid")))</f>
        <v/>
      </c>
      <c r="J5" s="24" t="inlineStr"/>
    </row>
    <row r="6">
      <c r="A6" s="26" t="inlineStr">
        <is>
          <t>DOC004</t>
        </is>
      </c>
      <c r="B6" s="26" t="inlineStr">
        <is>
          <t>A002</t>
        </is>
      </c>
      <c r="C6" s="26">
        <f>IFERROR(VLOOKUP(B6,'Angajați'!$A:$C,2,0)&amp;" "&amp;VLOOKUP(B6,'Angajați'!$A:$C,3,0),"N/A")</f>
        <v/>
      </c>
      <c r="D6" s="26" t="inlineStr">
        <is>
          <t>Certificat Profesional</t>
        </is>
      </c>
      <c r="E6" s="26" t="inlineStr">
        <is>
          <t>CERT-IT-2024</t>
        </is>
      </c>
      <c r="F6" s="27" t="n">
        <v>45444</v>
      </c>
      <c r="G6" s="27" t="n">
        <v>46174</v>
      </c>
      <c r="H6" s="26" t="inlineStr">
        <is>
          <t>IT Academy</t>
        </is>
      </c>
      <c r="I6" s="26">
        <f>IF(G6="","Valid",IF(G6&lt;TODAY(),"Expirat",IF(G6&lt;=TODAY()+30,"Expiră Curând","Valid")))</f>
        <v/>
      </c>
      <c r="J6" s="26" t="inlineStr">
        <is>
          <t>Certificare Cloud AWS</t>
        </is>
      </c>
    </row>
    <row r="7">
      <c r="A7" s="24" t="inlineStr">
        <is>
          <t>DOC005</t>
        </is>
      </c>
      <c r="B7" s="24" t="inlineStr">
        <is>
          <t>A003</t>
        </is>
      </c>
      <c r="C7" s="24">
        <f>IFERROR(VLOOKUP(B7,'Angajați'!$A:$C,2,0)&amp;" "&amp;VLOOKUP(B7,'Angajați'!$A:$C,3,0),"N/A")</f>
        <v/>
      </c>
      <c r="D7" s="24" t="inlineStr">
        <is>
          <t>Certificat Medical</t>
        </is>
      </c>
      <c r="E7" s="24" t="inlineStr">
        <is>
          <t>CM-2025-001</t>
        </is>
      </c>
      <c r="F7" s="25" t="n">
        <v>45672</v>
      </c>
      <c r="G7" s="25" t="n">
        <v>46037</v>
      </c>
      <c r="H7" s="24" t="inlineStr">
        <is>
          <t>Clinica Medicală X</t>
        </is>
      </c>
      <c r="I7" s="24">
        <f>IF(G7="","Valid",IF(G7&lt;TODAY(),"Expirat",IF(G7&lt;=TODAY()+30,"Expiră Curând","Valid")))</f>
        <v/>
      </c>
      <c r="J7" s="24" t="inlineStr">
        <is>
          <t>Apt pentru muncă</t>
        </is>
      </c>
    </row>
    <row r="8">
      <c r="A8" s="26" t="inlineStr">
        <is>
          <t>DOC006</t>
        </is>
      </c>
      <c r="B8" s="26" t="inlineStr">
        <is>
          <t>A003</t>
        </is>
      </c>
      <c r="C8" s="26">
        <f>IFERROR(VLOOKUP(B8,'Angajați'!$A:$C,2,0)&amp;" "&amp;VLOOKUP(B8,'Angajați'!$A:$C,3,0),"N/A")</f>
        <v/>
      </c>
      <c r="D8" s="26" t="inlineStr">
        <is>
          <t>Cazier Judiciar</t>
        </is>
      </c>
      <c r="E8" s="26" t="inlineStr">
        <is>
          <t>CJ-2025-001</t>
        </is>
      </c>
      <c r="F8" s="27" t="n">
        <v>45667</v>
      </c>
      <c r="G8" s="27" t="n">
        <v>45848</v>
      </c>
      <c r="H8" s="26" t="inlineStr">
        <is>
          <t>Poliția Sector 1</t>
        </is>
      </c>
      <c r="I8" s="26">
        <f>IF(G8="","Valid",IF(G8&lt;TODAY(),"Expirat",IF(G8&lt;=TODAY()+30,"Expiră Curând","Valid")))</f>
        <v/>
      </c>
      <c r="J8" s="26" t="inlineStr"/>
    </row>
    <row r="9">
      <c r="A9" s="24" t="inlineStr">
        <is>
          <t>DOC007</t>
        </is>
      </c>
      <c r="B9" s="24" t="inlineStr">
        <is>
          <t>A004</t>
        </is>
      </c>
      <c r="C9" s="24">
        <f>IFERROR(VLOOKUP(B9,'Angajați'!$A:$C,2,0)&amp;" "&amp;VLOOKUP(B9,'Angajați'!$A:$C,3,0),"N/A")</f>
        <v/>
      </c>
      <c r="D9" s="24" t="inlineStr">
        <is>
          <t>Diplomă Studii</t>
        </is>
      </c>
      <c r="E9" s="24" t="inlineStr">
        <is>
          <t>DIP-2010-001</t>
        </is>
      </c>
      <c r="F9" s="25" t="n">
        <v>40374</v>
      </c>
      <c r="G9" s="24" t="n"/>
      <c r="H9" s="24" t="inlineStr">
        <is>
          <t>ASE București</t>
        </is>
      </c>
      <c r="I9" s="24">
        <f>IF(G9="","Valid",IF(G9&lt;TODAY(),"Expirat",IF(G9&lt;=TODAY()+30,"Expiră Curând","Valid")))</f>
        <v/>
      </c>
      <c r="J9" s="24" t="inlineStr">
        <is>
          <t>Licență Contabilitate</t>
        </is>
      </c>
    </row>
    <row r="10">
      <c r="A10" s="26" t="inlineStr">
        <is>
          <t>DOC008</t>
        </is>
      </c>
      <c r="B10" s="26" t="inlineStr">
        <is>
          <t>A005</t>
        </is>
      </c>
      <c r="C10" s="26">
        <f>IFERROR(VLOOKUP(B10,'Angajați'!$A:$C,2,0)&amp;" "&amp;VLOOKUP(B10,'Angajați'!$A:$C,3,0),"N/A")</f>
        <v/>
      </c>
      <c r="D10" s="26" t="inlineStr">
        <is>
          <t>Permis Conducere</t>
        </is>
      </c>
      <c r="E10" s="26" t="inlineStr">
        <is>
          <t>PC-B-12345</t>
        </is>
      </c>
      <c r="F10" s="27" t="n">
        <v>43179</v>
      </c>
      <c r="G10" s="27" t="n">
        <v>48658</v>
      </c>
      <c r="H10" s="26" t="inlineStr">
        <is>
          <t>DRPCIV</t>
        </is>
      </c>
      <c r="I10" s="26">
        <f>IF(G10="","Valid",IF(G10&lt;TODAY(),"Expirat",IF(G10&lt;=TODAY()+30,"Expiră Curând","Valid")))</f>
        <v/>
      </c>
      <c r="J10" s="26" t="inlineStr">
        <is>
          <t>Categoria B</t>
        </is>
      </c>
    </row>
  </sheetData>
  <autoFilter ref="A2:J2"/>
  <mergeCells count="1">
    <mergeCell ref="A1:J1"/>
  </mergeCells>
  <conditionalFormatting sqref="I3:I1000">
    <cfRule type="cellIs" priority="1" operator="equal" dxfId="0">
      <formula>"Valid"</formula>
    </cfRule>
    <cfRule type="cellIs" priority="2" operator="equal" dxfId="1">
      <formula>"Expirat"</formula>
    </cfRule>
    <cfRule type="cellIs" priority="3" operator="equal" dxfId="2">
      <formula>"Expiră Curând"</formula>
    </cfRule>
    <cfRule type="cellIs" priority="4" operator="equal" dxfId="5">
      <formula>"Lipsă"</formula>
    </cfRule>
  </conditionalFormatting>
  <conditionalFormatting sqref="G3:G1000">
    <cfRule type="expression" priority="5" dxfId="3">
      <formula>AND(G3&lt;&gt;"",G3&lt;TODAY())</formula>
    </cfRule>
    <cfRule type="expression" priority="6" dxfId="4">
      <formula>AND(G3&lt;&gt;"",G3&gt;=TODAY(),G3&lt;=TODAY()+30)</formula>
    </cfRule>
  </conditionalFormatting>
  <dataValidations count="1">
    <dataValidation sqref="D3:D1000" showDropDown="0" showInputMessage="1" showErrorMessage="1" allowBlank="1" errorTitle="Eroare Validare" error="Valoare invalidă! Selectați din lista disponibilă." promptTitle="Selectare" prompt="Selectați o opțiune din listă" type="list">
      <formula1>"Carte Identitate,Pașaport,Permis Conducere,Diplomă Studii,Certificat Profesional,Certificat Medical,Cazier Judiciar,Contract de Muncă,Act Adițional,Fișa Postului,Adeverință Vechime,Declarație GDPR,SSM - Fișă Instruire,Altele"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F8C00"/>
    <outlinePr summaryBelow="1" summaryRight="1"/>
    <pageSetUpPr/>
  </sheetPr>
  <dimension ref="A1:AO7"/>
  <sheetViews>
    <sheetView workbookViewId="0">
      <pane xSplit="5" ySplit="2" topLeftCell="F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18" customWidth="1" min="3" max="3"/>
    <col width="8" customWidth="1" min="4" max="4"/>
    <col width="8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  <col width="4" customWidth="1" min="34" max="34"/>
    <col width="4" customWidth="1" min="35" max="35"/>
    <col width="4" customWidth="1" min="36" max="36"/>
    <col width="12" customWidth="1" min="37" max="37"/>
    <col width="10" customWidth="1" min="38" max="38"/>
    <col width="10" customWidth="1" min="39" max="39"/>
    <col width="12" customWidth="1" min="40" max="40"/>
    <col width="10" customWidth="1" min="41" max="41"/>
  </cols>
  <sheetData>
    <row r="1">
      <c r="A1" s="22" t="inlineStr">
        <is>
          <t>PONTAJ LUNAR</t>
        </is>
      </c>
    </row>
    <row r="2">
      <c r="A2" s="23" t="inlineStr">
        <is>
          <t>ID Angajat</t>
        </is>
      </c>
      <c r="B2" s="23" t="inlineStr">
        <is>
          <t>Nume</t>
        </is>
      </c>
      <c r="C2" s="23" t="inlineStr">
        <is>
          <t>Departament</t>
        </is>
      </c>
      <c r="D2" s="23" t="inlineStr">
        <is>
          <t>Luna</t>
        </is>
      </c>
      <c r="E2" s="23" t="inlineStr">
        <is>
          <t>An</t>
        </is>
      </c>
      <c r="F2" s="23" t="inlineStr">
        <is>
          <t>1</t>
        </is>
      </c>
      <c r="G2" s="23" t="inlineStr">
        <is>
          <t>2</t>
        </is>
      </c>
      <c r="H2" s="23" t="inlineStr">
        <is>
          <t>3</t>
        </is>
      </c>
      <c r="I2" s="23" t="inlineStr">
        <is>
          <t>4</t>
        </is>
      </c>
      <c r="J2" s="23" t="inlineStr">
        <is>
          <t>5</t>
        </is>
      </c>
      <c r="K2" s="23" t="inlineStr">
        <is>
          <t>6</t>
        </is>
      </c>
      <c r="L2" s="23" t="inlineStr">
        <is>
          <t>7</t>
        </is>
      </c>
      <c r="M2" s="23" t="inlineStr">
        <is>
          <t>8</t>
        </is>
      </c>
      <c r="N2" s="23" t="inlineStr">
        <is>
          <t>9</t>
        </is>
      </c>
      <c r="O2" s="23" t="inlineStr">
        <is>
          <t>10</t>
        </is>
      </c>
      <c r="P2" s="23" t="inlineStr">
        <is>
          <t>11</t>
        </is>
      </c>
      <c r="Q2" s="23" t="inlineStr">
        <is>
          <t>12</t>
        </is>
      </c>
      <c r="R2" s="23" t="inlineStr">
        <is>
          <t>13</t>
        </is>
      </c>
      <c r="S2" s="23" t="inlineStr">
        <is>
          <t>14</t>
        </is>
      </c>
      <c r="T2" s="23" t="inlineStr">
        <is>
          <t>15</t>
        </is>
      </c>
      <c r="U2" s="23" t="inlineStr">
        <is>
          <t>16</t>
        </is>
      </c>
      <c r="V2" s="23" t="inlineStr">
        <is>
          <t>17</t>
        </is>
      </c>
      <c r="W2" s="23" t="inlineStr">
        <is>
          <t>18</t>
        </is>
      </c>
      <c r="X2" s="23" t="inlineStr">
        <is>
          <t>19</t>
        </is>
      </c>
      <c r="Y2" s="23" t="inlineStr">
        <is>
          <t>20</t>
        </is>
      </c>
      <c r="Z2" s="23" t="inlineStr">
        <is>
          <t>21</t>
        </is>
      </c>
      <c r="AA2" s="23" t="inlineStr">
        <is>
          <t>22</t>
        </is>
      </c>
      <c r="AB2" s="23" t="inlineStr">
        <is>
          <t>23</t>
        </is>
      </c>
      <c r="AC2" s="23" t="inlineStr">
        <is>
          <t>24</t>
        </is>
      </c>
      <c r="AD2" s="23" t="inlineStr">
        <is>
          <t>25</t>
        </is>
      </c>
      <c r="AE2" s="23" t="inlineStr">
        <is>
          <t>26</t>
        </is>
      </c>
      <c r="AF2" s="23" t="inlineStr">
        <is>
          <t>27</t>
        </is>
      </c>
      <c r="AG2" s="23" t="inlineStr">
        <is>
          <t>28</t>
        </is>
      </c>
      <c r="AH2" s="23" t="inlineStr">
        <is>
          <t>29</t>
        </is>
      </c>
      <c r="AI2" s="23" t="inlineStr">
        <is>
          <t>30</t>
        </is>
      </c>
      <c r="AJ2" s="23" t="inlineStr">
        <is>
          <t>31</t>
        </is>
      </c>
      <c r="AK2" s="23" t="inlineStr">
        <is>
          <t>Zile Lucrate</t>
        </is>
      </c>
      <c r="AL2" s="23" t="inlineStr">
        <is>
          <t>Total CO</t>
        </is>
      </c>
      <c r="AM2" s="23" t="inlineStr">
        <is>
          <t>Total CM</t>
        </is>
      </c>
      <c r="AN2" s="23" t="inlineStr">
        <is>
          <t>Total Absențe</t>
        </is>
      </c>
      <c r="AO2" s="23" t="inlineStr">
        <is>
          <t>Total OS</t>
        </is>
      </c>
    </row>
    <row r="3">
      <c r="A3" s="30" t="inlineStr">
        <is>
          <t>A001</t>
        </is>
      </c>
      <c r="B3" s="30">
        <f>IFERROR(VLOOKUP(A3,'Angajați'!$A:$C,2,0)&amp;" "&amp;VLOOKUP(A3,'Angajați'!$A:$C,3,0),"N/A")</f>
        <v/>
      </c>
      <c r="C3" s="30">
        <f>IFERROR(VLOOKUP(A3,'Angajați'!$A:$K,11,0),"N/A")</f>
        <v/>
      </c>
      <c r="D3" s="30" t="n">
        <v>3</v>
      </c>
      <c r="E3" s="30" t="n">
        <v>2025</v>
      </c>
      <c r="F3" s="33" t="inlineStr">
        <is>
          <t>LS</t>
        </is>
      </c>
      <c r="G3" s="33" t="inlineStr">
        <is>
          <t>LS</t>
        </is>
      </c>
      <c r="H3" s="33" t="inlineStr">
        <is>
          <t>P</t>
        </is>
      </c>
      <c r="I3" s="33" t="inlineStr">
        <is>
          <t>P</t>
        </is>
      </c>
      <c r="J3" s="33" t="inlineStr">
        <is>
          <t>P</t>
        </is>
      </c>
      <c r="K3" s="33" t="inlineStr">
        <is>
          <t>P</t>
        </is>
      </c>
      <c r="L3" s="33" t="inlineStr">
        <is>
          <t>P</t>
        </is>
      </c>
      <c r="M3" s="33" t="inlineStr">
        <is>
          <t>LS</t>
        </is>
      </c>
      <c r="N3" s="33" t="inlineStr">
        <is>
          <t>LS</t>
        </is>
      </c>
      <c r="O3" s="33" t="inlineStr">
        <is>
          <t>P</t>
        </is>
      </c>
      <c r="P3" s="33" t="inlineStr">
        <is>
          <t>P</t>
        </is>
      </c>
      <c r="Q3" s="33" t="inlineStr">
        <is>
          <t>P</t>
        </is>
      </c>
      <c r="R3" s="33" t="inlineStr">
        <is>
          <t>P</t>
        </is>
      </c>
      <c r="S3" s="33" t="inlineStr">
        <is>
          <t>P</t>
        </is>
      </c>
      <c r="T3" s="33" t="inlineStr">
        <is>
          <t>LS</t>
        </is>
      </c>
      <c r="U3" s="33" t="inlineStr">
        <is>
          <t>LS</t>
        </is>
      </c>
      <c r="V3" s="33" t="inlineStr">
        <is>
          <t>P</t>
        </is>
      </c>
      <c r="W3" s="33" t="inlineStr">
        <is>
          <t>P</t>
        </is>
      </c>
      <c r="X3" s="33" t="inlineStr">
        <is>
          <t>P</t>
        </is>
      </c>
      <c r="Y3" s="33" t="inlineStr">
        <is>
          <t>P</t>
        </is>
      </c>
      <c r="Z3" s="33" t="inlineStr">
        <is>
          <t>P</t>
        </is>
      </c>
      <c r="AA3" s="33" t="inlineStr">
        <is>
          <t>LS</t>
        </is>
      </c>
      <c r="AB3" s="33" t="inlineStr">
        <is>
          <t>LS</t>
        </is>
      </c>
      <c r="AC3" s="33" t="inlineStr">
        <is>
          <t>P</t>
        </is>
      </c>
      <c r="AD3" s="33" t="inlineStr">
        <is>
          <t>P</t>
        </is>
      </c>
      <c r="AE3" s="33" t="inlineStr">
        <is>
          <t>P</t>
        </is>
      </c>
      <c r="AF3" s="33" t="inlineStr">
        <is>
          <t>P</t>
        </is>
      </c>
      <c r="AG3" s="33" t="inlineStr">
        <is>
          <t>P</t>
        </is>
      </c>
      <c r="AH3" s="33" t="inlineStr">
        <is>
          <t>LS</t>
        </is>
      </c>
      <c r="AI3" s="33" t="inlineStr">
        <is>
          <t>LS</t>
        </is>
      </c>
      <c r="AJ3" s="33" t="inlineStr">
        <is>
          <t>P</t>
        </is>
      </c>
      <c r="AK3" s="30">
        <f>COUNTIF(F3:AJ3,"P")+COUNTIF(F3:AJ3,"TP")</f>
        <v/>
      </c>
      <c r="AL3" s="30">
        <f>COUNTIF(F3:AJ3,"CO")</f>
        <v/>
      </c>
      <c r="AM3" s="30">
        <f>COUNTIF(F3:AJ3,"CM")</f>
        <v/>
      </c>
      <c r="AN3" s="30">
        <f>COUNTIF(F3:AJ3,"A")+COUNTIF(F3:AJ3,"AM")</f>
        <v/>
      </c>
      <c r="AO3" s="30">
        <f>COUNTIF(F3:AJ3,"OS")</f>
        <v/>
      </c>
    </row>
    <row r="4">
      <c r="A4" s="30" t="inlineStr">
        <is>
          <t>A002</t>
        </is>
      </c>
      <c r="B4" s="30">
        <f>IFERROR(VLOOKUP(A4,'Angajați'!$A:$C,2,0)&amp;" "&amp;VLOOKUP(A4,'Angajați'!$A:$C,3,0),"N/A")</f>
        <v/>
      </c>
      <c r="C4" s="30">
        <f>IFERROR(VLOOKUP(A4,'Angajați'!$A:$K,11,0),"N/A")</f>
        <v/>
      </c>
      <c r="D4" s="30" t="n">
        <v>3</v>
      </c>
      <c r="E4" s="30" t="n">
        <v>2025</v>
      </c>
      <c r="F4" s="33" t="inlineStr">
        <is>
          <t>LS</t>
        </is>
      </c>
      <c r="G4" s="33" t="inlineStr">
        <is>
          <t>LS</t>
        </is>
      </c>
      <c r="H4" s="33" t="inlineStr">
        <is>
          <t>P</t>
        </is>
      </c>
      <c r="I4" s="33" t="inlineStr">
        <is>
          <t>P</t>
        </is>
      </c>
      <c r="J4" s="33" t="inlineStr">
        <is>
          <t>P</t>
        </is>
      </c>
      <c r="K4" s="33" t="inlineStr">
        <is>
          <t>P</t>
        </is>
      </c>
      <c r="L4" s="33" t="inlineStr">
        <is>
          <t>P</t>
        </is>
      </c>
      <c r="M4" s="33" t="inlineStr">
        <is>
          <t>LS</t>
        </is>
      </c>
      <c r="N4" s="33" t="inlineStr">
        <is>
          <t>LS</t>
        </is>
      </c>
      <c r="O4" s="33" t="inlineStr">
        <is>
          <t>P</t>
        </is>
      </c>
      <c r="P4" s="33" t="inlineStr">
        <is>
          <t>P</t>
        </is>
      </c>
      <c r="Q4" s="33" t="inlineStr">
        <is>
          <t>P</t>
        </is>
      </c>
      <c r="R4" s="33" t="inlineStr">
        <is>
          <t>P</t>
        </is>
      </c>
      <c r="S4" s="33" t="inlineStr">
        <is>
          <t>P</t>
        </is>
      </c>
      <c r="T4" s="33" t="inlineStr">
        <is>
          <t>LS</t>
        </is>
      </c>
      <c r="U4" s="33" t="inlineStr">
        <is>
          <t>LS</t>
        </is>
      </c>
      <c r="V4" s="33" t="inlineStr">
        <is>
          <t>P</t>
        </is>
      </c>
      <c r="W4" s="33" t="inlineStr">
        <is>
          <t>P</t>
        </is>
      </c>
      <c r="X4" s="33" t="inlineStr">
        <is>
          <t>P</t>
        </is>
      </c>
      <c r="Y4" s="33" t="inlineStr">
        <is>
          <t>P</t>
        </is>
      </c>
      <c r="Z4" s="33" t="inlineStr">
        <is>
          <t>P</t>
        </is>
      </c>
      <c r="AA4" s="33" t="inlineStr">
        <is>
          <t>LS</t>
        </is>
      </c>
      <c r="AB4" s="33" t="inlineStr">
        <is>
          <t>LS</t>
        </is>
      </c>
      <c r="AC4" s="33" t="inlineStr">
        <is>
          <t>P</t>
        </is>
      </c>
      <c r="AD4" s="33" t="inlineStr">
        <is>
          <t>P</t>
        </is>
      </c>
      <c r="AE4" s="33" t="inlineStr">
        <is>
          <t>P</t>
        </is>
      </c>
      <c r="AF4" s="33" t="inlineStr">
        <is>
          <t>P</t>
        </is>
      </c>
      <c r="AG4" s="33" t="inlineStr">
        <is>
          <t>P</t>
        </is>
      </c>
      <c r="AH4" s="33" t="inlineStr">
        <is>
          <t>LS</t>
        </is>
      </c>
      <c r="AI4" s="33" t="inlineStr">
        <is>
          <t>LS</t>
        </is>
      </c>
      <c r="AJ4" s="33" t="inlineStr">
        <is>
          <t>P</t>
        </is>
      </c>
      <c r="AK4" s="30">
        <f>COUNTIF(F4:AJ4,"P")+COUNTIF(F4:AJ4,"TP")</f>
        <v/>
      </c>
      <c r="AL4" s="30">
        <f>COUNTIF(F4:AJ4,"CO")</f>
        <v/>
      </c>
      <c r="AM4" s="30">
        <f>COUNTIF(F4:AJ4,"CM")</f>
        <v/>
      </c>
      <c r="AN4" s="30">
        <f>COUNTIF(F4:AJ4,"A")+COUNTIF(F4:AJ4,"AM")</f>
        <v/>
      </c>
      <c r="AO4" s="30">
        <f>COUNTIF(F4:AJ4,"OS")</f>
        <v/>
      </c>
    </row>
    <row r="5">
      <c r="A5" s="30" t="inlineStr">
        <is>
          <t>A003</t>
        </is>
      </c>
      <c r="B5" s="30">
        <f>IFERROR(VLOOKUP(A5,'Angajați'!$A:$C,2,0)&amp;" "&amp;VLOOKUP(A5,'Angajați'!$A:$C,3,0),"N/A")</f>
        <v/>
      </c>
      <c r="C5" s="30">
        <f>IFERROR(VLOOKUP(A5,'Angajați'!$A:$K,11,0),"N/A")</f>
        <v/>
      </c>
      <c r="D5" s="30" t="n">
        <v>3</v>
      </c>
      <c r="E5" s="30" t="n">
        <v>2025</v>
      </c>
      <c r="F5" s="33" t="inlineStr">
        <is>
          <t>LS</t>
        </is>
      </c>
      <c r="G5" s="33" t="inlineStr">
        <is>
          <t>LS</t>
        </is>
      </c>
      <c r="H5" s="33" t="inlineStr">
        <is>
          <t>P</t>
        </is>
      </c>
      <c r="I5" s="33" t="inlineStr">
        <is>
          <t>P</t>
        </is>
      </c>
      <c r="J5" s="33" t="inlineStr">
        <is>
          <t>P</t>
        </is>
      </c>
      <c r="K5" s="33" t="inlineStr">
        <is>
          <t>P</t>
        </is>
      </c>
      <c r="L5" s="33" t="inlineStr">
        <is>
          <t>P</t>
        </is>
      </c>
      <c r="M5" s="33" t="inlineStr">
        <is>
          <t>LS</t>
        </is>
      </c>
      <c r="N5" s="33" t="inlineStr">
        <is>
          <t>LS</t>
        </is>
      </c>
      <c r="O5" s="33" t="inlineStr">
        <is>
          <t>P</t>
        </is>
      </c>
      <c r="P5" s="33" t="inlineStr">
        <is>
          <t>P</t>
        </is>
      </c>
      <c r="Q5" s="33" t="inlineStr">
        <is>
          <t>P</t>
        </is>
      </c>
      <c r="R5" s="33" t="inlineStr">
        <is>
          <t>P</t>
        </is>
      </c>
      <c r="S5" s="33" t="inlineStr">
        <is>
          <t>P</t>
        </is>
      </c>
      <c r="T5" s="33" t="inlineStr">
        <is>
          <t>LS</t>
        </is>
      </c>
      <c r="U5" s="33" t="inlineStr">
        <is>
          <t>LS</t>
        </is>
      </c>
      <c r="V5" s="33" t="inlineStr">
        <is>
          <t>P</t>
        </is>
      </c>
      <c r="W5" s="33" t="inlineStr">
        <is>
          <t>P</t>
        </is>
      </c>
      <c r="X5" s="33" t="inlineStr">
        <is>
          <t>P</t>
        </is>
      </c>
      <c r="Y5" s="33" t="inlineStr">
        <is>
          <t>P</t>
        </is>
      </c>
      <c r="Z5" s="33" t="inlineStr">
        <is>
          <t>P</t>
        </is>
      </c>
      <c r="AA5" s="33" t="inlineStr">
        <is>
          <t>LS</t>
        </is>
      </c>
      <c r="AB5" s="33" t="inlineStr">
        <is>
          <t>LS</t>
        </is>
      </c>
      <c r="AC5" s="33" t="inlineStr">
        <is>
          <t>P</t>
        </is>
      </c>
      <c r="AD5" s="33" t="inlineStr">
        <is>
          <t>P</t>
        </is>
      </c>
      <c r="AE5" s="33" t="inlineStr">
        <is>
          <t>P</t>
        </is>
      </c>
      <c r="AF5" s="33" t="inlineStr">
        <is>
          <t>P</t>
        </is>
      </c>
      <c r="AG5" s="33" t="inlineStr">
        <is>
          <t>P</t>
        </is>
      </c>
      <c r="AH5" s="33" t="inlineStr">
        <is>
          <t>LS</t>
        </is>
      </c>
      <c r="AI5" s="33" t="inlineStr">
        <is>
          <t>LS</t>
        </is>
      </c>
      <c r="AJ5" s="33" t="inlineStr">
        <is>
          <t>P</t>
        </is>
      </c>
      <c r="AK5" s="30">
        <f>COUNTIF(F5:AJ5,"P")+COUNTIF(F5:AJ5,"TP")</f>
        <v/>
      </c>
      <c r="AL5" s="30">
        <f>COUNTIF(F5:AJ5,"CO")</f>
        <v/>
      </c>
      <c r="AM5" s="30">
        <f>COUNTIF(F5:AJ5,"CM")</f>
        <v/>
      </c>
      <c r="AN5" s="30">
        <f>COUNTIF(F5:AJ5,"A")+COUNTIF(F5:AJ5,"AM")</f>
        <v/>
      </c>
      <c r="AO5" s="30">
        <f>COUNTIF(F5:AJ5,"OS")</f>
        <v/>
      </c>
    </row>
    <row r="6">
      <c r="A6" s="30" t="inlineStr">
        <is>
          <t>A004</t>
        </is>
      </c>
      <c r="B6" s="30">
        <f>IFERROR(VLOOKUP(A6,'Angajați'!$A:$C,2,0)&amp;" "&amp;VLOOKUP(A6,'Angajați'!$A:$C,3,0),"N/A")</f>
        <v/>
      </c>
      <c r="C6" s="30">
        <f>IFERROR(VLOOKUP(A6,'Angajați'!$A:$K,11,0),"N/A")</f>
        <v/>
      </c>
      <c r="D6" s="30" t="n">
        <v>3</v>
      </c>
      <c r="E6" s="30" t="n">
        <v>2025</v>
      </c>
      <c r="F6" s="33" t="inlineStr">
        <is>
          <t>LS</t>
        </is>
      </c>
      <c r="G6" s="33" t="inlineStr">
        <is>
          <t>LS</t>
        </is>
      </c>
      <c r="H6" s="33" t="inlineStr">
        <is>
          <t>P</t>
        </is>
      </c>
      <c r="I6" s="33" t="inlineStr">
        <is>
          <t>P</t>
        </is>
      </c>
      <c r="J6" s="33" t="inlineStr">
        <is>
          <t>P</t>
        </is>
      </c>
      <c r="K6" s="33" t="inlineStr">
        <is>
          <t>P</t>
        </is>
      </c>
      <c r="L6" s="33" t="inlineStr">
        <is>
          <t>P</t>
        </is>
      </c>
      <c r="M6" s="33" t="inlineStr">
        <is>
          <t>LS</t>
        </is>
      </c>
      <c r="N6" s="33" t="inlineStr">
        <is>
          <t>LS</t>
        </is>
      </c>
      <c r="O6" s="33" t="inlineStr">
        <is>
          <t>P</t>
        </is>
      </c>
      <c r="P6" s="33" t="inlineStr">
        <is>
          <t>P</t>
        </is>
      </c>
      <c r="Q6" s="33" t="inlineStr">
        <is>
          <t>P</t>
        </is>
      </c>
      <c r="R6" s="33" t="inlineStr">
        <is>
          <t>P</t>
        </is>
      </c>
      <c r="S6" s="33" t="inlineStr">
        <is>
          <t>P</t>
        </is>
      </c>
      <c r="T6" s="33" t="inlineStr">
        <is>
          <t>LS</t>
        </is>
      </c>
      <c r="U6" s="33" t="inlineStr">
        <is>
          <t>LS</t>
        </is>
      </c>
      <c r="V6" s="33" t="inlineStr">
        <is>
          <t>P</t>
        </is>
      </c>
      <c r="W6" s="33" t="inlineStr">
        <is>
          <t>P</t>
        </is>
      </c>
      <c r="X6" s="33" t="inlineStr">
        <is>
          <t>P</t>
        </is>
      </c>
      <c r="Y6" s="33" t="inlineStr">
        <is>
          <t>P</t>
        </is>
      </c>
      <c r="Z6" s="33" t="inlineStr">
        <is>
          <t>P</t>
        </is>
      </c>
      <c r="AA6" s="33" t="inlineStr">
        <is>
          <t>LS</t>
        </is>
      </c>
      <c r="AB6" s="33" t="inlineStr">
        <is>
          <t>LS</t>
        </is>
      </c>
      <c r="AC6" s="33" t="inlineStr">
        <is>
          <t>P</t>
        </is>
      </c>
      <c r="AD6" s="33" t="inlineStr">
        <is>
          <t>P</t>
        </is>
      </c>
      <c r="AE6" s="33" t="inlineStr">
        <is>
          <t>P</t>
        </is>
      </c>
      <c r="AF6" s="33" t="inlineStr">
        <is>
          <t>P</t>
        </is>
      </c>
      <c r="AG6" s="33" t="inlineStr">
        <is>
          <t>P</t>
        </is>
      </c>
      <c r="AH6" s="33" t="inlineStr">
        <is>
          <t>LS</t>
        </is>
      </c>
      <c r="AI6" s="33" t="inlineStr">
        <is>
          <t>LS</t>
        </is>
      </c>
      <c r="AJ6" s="33" t="inlineStr">
        <is>
          <t>P</t>
        </is>
      </c>
      <c r="AK6" s="30">
        <f>COUNTIF(F6:AJ6,"P")+COUNTIF(F6:AJ6,"TP")</f>
        <v/>
      </c>
      <c r="AL6" s="30">
        <f>COUNTIF(F6:AJ6,"CO")</f>
        <v/>
      </c>
      <c r="AM6" s="30">
        <f>COUNTIF(F6:AJ6,"CM")</f>
        <v/>
      </c>
      <c r="AN6" s="30">
        <f>COUNTIF(F6:AJ6,"A")+COUNTIF(F6:AJ6,"AM")</f>
        <v/>
      </c>
      <c r="AO6" s="30">
        <f>COUNTIF(F6:AJ6,"OS")</f>
        <v/>
      </c>
    </row>
    <row r="7">
      <c r="A7" s="30" t="inlineStr">
        <is>
          <t>A005</t>
        </is>
      </c>
      <c r="B7" s="30">
        <f>IFERROR(VLOOKUP(A7,'Angajați'!$A:$C,2,0)&amp;" "&amp;VLOOKUP(A7,'Angajați'!$A:$C,3,0),"N/A")</f>
        <v/>
      </c>
      <c r="C7" s="30">
        <f>IFERROR(VLOOKUP(A7,'Angajați'!$A:$K,11,0),"N/A")</f>
        <v/>
      </c>
      <c r="D7" s="30" t="n">
        <v>3</v>
      </c>
      <c r="E7" s="30" t="n">
        <v>2025</v>
      </c>
      <c r="F7" s="33" t="inlineStr">
        <is>
          <t>LS</t>
        </is>
      </c>
      <c r="G7" s="33" t="inlineStr">
        <is>
          <t>LS</t>
        </is>
      </c>
      <c r="H7" s="33" t="inlineStr">
        <is>
          <t>P</t>
        </is>
      </c>
      <c r="I7" s="33" t="inlineStr">
        <is>
          <t>P</t>
        </is>
      </c>
      <c r="J7" s="33" t="inlineStr">
        <is>
          <t>P</t>
        </is>
      </c>
      <c r="K7" s="33" t="inlineStr">
        <is>
          <t>P</t>
        </is>
      </c>
      <c r="L7" s="33" t="inlineStr">
        <is>
          <t>P</t>
        </is>
      </c>
      <c r="M7" s="33" t="inlineStr">
        <is>
          <t>LS</t>
        </is>
      </c>
      <c r="N7" s="33" t="inlineStr">
        <is>
          <t>LS</t>
        </is>
      </c>
      <c r="O7" s="33" t="inlineStr">
        <is>
          <t>P</t>
        </is>
      </c>
      <c r="P7" s="33" t="inlineStr">
        <is>
          <t>P</t>
        </is>
      </c>
      <c r="Q7" s="33" t="inlineStr">
        <is>
          <t>P</t>
        </is>
      </c>
      <c r="R7" s="33" t="inlineStr">
        <is>
          <t>P</t>
        </is>
      </c>
      <c r="S7" s="33" t="inlineStr">
        <is>
          <t>P</t>
        </is>
      </c>
      <c r="T7" s="33" t="inlineStr">
        <is>
          <t>LS</t>
        </is>
      </c>
      <c r="U7" s="33" t="inlineStr">
        <is>
          <t>LS</t>
        </is>
      </c>
      <c r="V7" s="33" t="inlineStr">
        <is>
          <t>P</t>
        </is>
      </c>
      <c r="W7" s="33" t="inlineStr">
        <is>
          <t>P</t>
        </is>
      </c>
      <c r="X7" s="33" t="inlineStr">
        <is>
          <t>P</t>
        </is>
      </c>
      <c r="Y7" s="33" t="inlineStr">
        <is>
          <t>P</t>
        </is>
      </c>
      <c r="Z7" s="33" t="inlineStr">
        <is>
          <t>P</t>
        </is>
      </c>
      <c r="AA7" s="33" t="inlineStr">
        <is>
          <t>LS</t>
        </is>
      </c>
      <c r="AB7" s="33" t="inlineStr">
        <is>
          <t>LS</t>
        </is>
      </c>
      <c r="AC7" s="33" t="inlineStr">
        <is>
          <t>P</t>
        </is>
      </c>
      <c r="AD7" s="33" t="inlineStr">
        <is>
          <t>P</t>
        </is>
      </c>
      <c r="AE7" s="33" t="inlineStr">
        <is>
          <t>P</t>
        </is>
      </c>
      <c r="AF7" s="33" t="inlineStr">
        <is>
          <t>P</t>
        </is>
      </c>
      <c r="AG7" s="33" t="inlineStr">
        <is>
          <t>P</t>
        </is>
      </c>
      <c r="AH7" s="33" t="inlineStr">
        <is>
          <t>LS</t>
        </is>
      </c>
      <c r="AI7" s="33" t="inlineStr">
        <is>
          <t>LS</t>
        </is>
      </c>
      <c r="AJ7" s="33" t="inlineStr">
        <is>
          <t>P</t>
        </is>
      </c>
      <c r="AK7" s="30">
        <f>COUNTIF(F7:AJ7,"P")+COUNTIF(F7:AJ7,"TP")</f>
        <v/>
      </c>
      <c r="AL7" s="30">
        <f>COUNTIF(F7:AJ7,"CO")</f>
        <v/>
      </c>
      <c r="AM7" s="30">
        <f>COUNTIF(F7:AJ7,"CM")</f>
        <v/>
      </c>
      <c r="AN7" s="30">
        <f>COUNTIF(F7:AJ7,"A")+COUNTIF(F7:AJ7,"AM")</f>
        <v/>
      </c>
      <c r="AO7" s="30">
        <f>COUNTIF(F7:AJ7,"OS")</f>
        <v/>
      </c>
    </row>
  </sheetData>
  <mergeCells count="1">
    <mergeCell ref="A1:AO1"/>
  </mergeCells>
  <conditionalFormatting sqref="F3:AJ200">
    <cfRule type="cellIs" priority="1" operator="equal" dxfId="6">
      <formula>"P"</formula>
    </cfRule>
    <cfRule type="cellIs" priority="2" operator="equal" dxfId="7">
      <formula>"CO"</formula>
    </cfRule>
    <cfRule type="cellIs" priority="3" operator="equal" dxfId="8">
      <formula>"CM"</formula>
    </cfRule>
    <cfRule type="cellIs" priority="4" operator="equal" dxfId="9">
      <formula>"A"</formula>
    </cfRule>
    <cfRule type="cellIs" priority="5" operator="equal" dxfId="10">
      <formula>"AM"</formula>
    </cfRule>
    <cfRule type="cellIs" priority="6" operator="equal" dxfId="11">
      <formula>"LS"</formula>
    </cfRule>
    <cfRule type="cellIs" priority="7" operator="equal" dxfId="12">
      <formula>"OS"</formula>
    </cfRule>
    <cfRule type="cellIs" priority="8" operator="equal" dxfId="13">
      <formula>"TP"</formula>
    </cfRule>
    <cfRule type="cellIs" priority="9" operator="equal" dxfId="8">
      <formula>"D"</formula>
    </cfRule>
  </conditionalFormatting>
  <dataValidations count="1">
    <dataValidation sqref="F3:AJ200" showDropDown="0" showInputMessage="1" showErrorMessage="1" allowBlank="1" errorTitle="Eroare Validare" error="Valoare invalidă! Selectați din lista disponibilă." promptTitle="Selectare" prompt="Selectați o opțiune din listă" type="list">
      <formula1>"P,CO,CM,A,AM,LS,OS,TP,D"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E65100"/>
    <outlinePr summaryBelow="1" summaryRight="1"/>
    <pageSetUpPr/>
  </sheetPr>
  <dimension ref="A1:M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0" customWidth="1" min="3" max="3"/>
    <col width="14" customWidth="1" min="4" max="4"/>
    <col width="14" customWidth="1" min="5" max="5"/>
    <col width="25" customWidth="1" min="6" max="6"/>
    <col width="18" customWidth="1" min="7" max="7"/>
    <col width="16" customWidth="1" min="8" max="8"/>
    <col width="10" customWidth="1" min="9" max="9"/>
    <col width="18" customWidth="1" min="10" max="10"/>
    <col width="18" customWidth="1" min="11" max="11"/>
    <col width="14" customWidth="1" min="12" max="12"/>
    <col width="20" customWidth="1" min="13" max="13"/>
  </cols>
  <sheetData>
    <row r="1">
      <c r="A1" s="22" t="inlineStr">
        <is>
          <t>EVIDENȚĂ ORE SUPLIMENTARE</t>
        </is>
      </c>
    </row>
    <row r="2">
      <c r="A2" s="23" t="inlineStr">
        <is>
          <t>ID</t>
        </is>
      </c>
      <c r="B2" s="23" t="inlineStr">
        <is>
          <t>ID Angajat</t>
        </is>
      </c>
      <c r="C2" s="23" t="inlineStr">
        <is>
          <t>Nume Angajat</t>
        </is>
      </c>
      <c r="D2" s="23" t="inlineStr">
        <is>
          <t>Data</t>
        </is>
      </c>
      <c r="E2" s="23" t="inlineStr">
        <is>
          <t>Ore Suplimentare</t>
        </is>
      </c>
      <c r="F2" s="23" t="inlineStr">
        <is>
          <t>Motiv</t>
        </is>
      </c>
      <c r="G2" s="23" t="inlineStr">
        <is>
          <t>Aprobat De</t>
        </is>
      </c>
      <c r="H2" s="23" t="inlineStr">
        <is>
          <t>Tip Compensare</t>
        </is>
      </c>
      <c r="I2" s="23" t="inlineStr">
        <is>
          <t>Spor (%)</t>
        </is>
      </c>
      <c r="J2" s="23" t="inlineStr">
        <is>
          <t>Salariu Orar Bază (RON)</t>
        </is>
      </c>
      <c r="K2" s="23" t="inlineStr">
        <is>
          <t>Valoare Brută (RON)</t>
        </is>
      </c>
      <c r="L2" s="23" t="inlineStr">
        <is>
          <t>Status</t>
        </is>
      </c>
      <c r="M2" s="23" t="inlineStr">
        <is>
          <t>Observații</t>
        </is>
      </c>
    </row>
    <row r="3">
      <c r="A3" s="24" t="inlineStr">
        <is>
          <t>OS001</t>
        </is>
      </c>
      <c r="B3" s="24" t="inlineStr">
        <is>
          <t>A002</t>
        </is>
      </c>
      <c r="C3" s="24">
        <f>IFERROR(VLOOKUP(B3,'Angajați'!$A:$C,2,0)&amp;" "&amp;VLOOKUP(B3,'Angajați'!$A:$C,3,0),"N/A")</f>
        <v/>
      </c>
      <c r="D3" s="25" t="n">
        <v>45731</v>
      </c>
      <c r="E3" s="24" t="n">
        <v>4</v>
      </c>
      <c r="F3" s="24" t="inlineStr">
        <is>
          <t>Deadline proiect X</t>
        </is>
      </c>
      <c r="G3" s="24" t="inlineStr">
        <is>
          <t>Popescu Ion</t>
        </is>
      </c>
      <c r="H3" s="24" t="inlineStr">
        <is>
          <t>Plată</t>
        </is>
      </c>
      <c r="I3" s="24" t="inlineStr">
        <is>
          <t>75%</t>
        </is>
      </c>
      <c r="J3" s="28">
        <f>IFERROR(ROUND(VLOOKUP(B3,Contracte!$B:$I,8,0)/(22*Configurare!$B$10),2),0)</f>
        <v/>
      </c>
      <c r="K3" s="28">
        <f>IF(E3&lt;&gt;"",ROUND(E3*J3*(1+SUBSTITUTE(I3,"%","")/100),2),0)</f>
        <v/>
      </c>
      <c r="L3" s="24" t="inlineStr">
        <is>
          <t>Aprobat</t>
        </is>
      </c>
      <c r="M3" s="24" t="inlineStr"/>
    </row>
    <row r="4">
      <c r="A4" s="26" t="inlineStr">
        <is>
          <t>OS002</t>
        </is>
      </c>
      <c r="B4" s="26" t="inlineStr">
        <is>
          <t>A002</t>
        </is>
      </c>
      <c r="C4" s="26">
        <f>IFERROR(VLOOKUP(B4,'Angajați'!$A:$C,2,0)&amp;" "&amp;VLOOKUP(B4,'Angajați'!$A:$C,3,0),"N/A")</f>
        <v/>
      </c>
      <c r="D4" s="27" t="n">
        <v>45738</v>
      </c>
      <c r="E4" s="26" t="n">
        <v>8</v>
      </c>
      <c r="F4" s="26" t="inlineStr">
        <is>
          <t>Deployment producție (sâmbătă)</t>
        </is>
      </c>
      <c r="G4" s="26" t="inlineStr">
        <is>
          <t>Popescu Ion</t>
        </is>
      </c>
      <c r="H4" s="26" t="inlineStr">
        <is>
          <t>Plată</t>
        </is>
      </c>
      <c r="I4" s="26" t="inlineStr">
        <is>
          <t>100%</t>
        </is>
      </c>
      <c r="J4" s="29">
        <f>IFERROR(ROUND(VLOOKUP(B4,Contracte!$B:$I,8,0)/(22*Configurare!$B$10),2),0)</f>
        <v/>
      </c>
      <c r="K4" s="29">
        <f>IF(E4&lt;&gt;"",ROUND(E4*J4*(1+SUBSTITUTE(I4,"%","")/100),2),0)</f>
        <v/>
      </c>
      <c r="L4" s="26" t="inlineStr">
        <is>
          <t>Aprobat</t>
        </is>
      </c>
      <c r="M4" s="26" t="inlineStr">
        <is>
          <t>Weekend</t>
        </is>
      </c>
    </row>
    <row r="5">
      <c r="A5" s="24" t="inlineStr">
        <is>
          <t>OS003</t>
        </is>
      </c>
      <c r="B5" s="24" t="inlineStr">
        <is>
          <t>A004</t>
        </is>
      </c>
      <c r="C5" s="24">
        <f>IFERROR(VLOOKUP(B5,'Angajați'!$A:$C,2,0)&amp;" "&amp;VLOOKUP(B5,'Angajați'!$A:$C,3,0),"N/A")</f>
        <v/>
      </c>
      <c r="D5" s="25" t="n">
        <v>45734</v>
      </c>
      <c r="E5" s="24" t="n">
        <v>3</v>
      </c>
      <c r="F5" s="24" t="inlineStr">
        <is>
          <t>Închidere situații financiare</t>
        </is>
      </c>
      <c r="G5" s="24" t="inlineStr">
        <is>
          <t>Popescu Ion</t>
        </is>
      </c>
      <c r="H5" s="24" t="inlineStr">
        <is>
          <t>Timp Liber</t>
        </is>
      </c>
      <c r="I5" s="24" t="inlineStr">
        <is>
          <t>75%</t>
        </is>
      </c>
      <c r="J5" s="28">
        <f>IFERROR(ROUND(VLOOKUP(B5,Contracte!$B:$I,8,0)/(22*Configurare!$B$10),2),0)</f>
        <v/>
      </c>
      <c r="K5" s="28">
        <f>IF(E5&lt;&gt;"",ROUND(E5*J5*(1+SUBSTITUTE(I5,"%","")/100),2),0)</f>
        <v/>
      </c>
      <c r="L5" s="24" t="inlineStr">
        <is>
          <t>Solicitat</t>
        </is>
      </c>
      <c r="M5" s="24" t="inlineStr"/>
    </row>
    <row r="6">
      <c r="A6" s="26" t="inlineStr">
        <is>
          <t>OS004</t>
        </is>
      </c>
      <c r="B6" s="26" t="inlineStr">
        <is>
          <t>A005</t>
        </is>
      </c>
      <c r="C6" s="26">
        <f>IFERROR(VLOOKUP(B6,'Angajați'!$A:$C,2,0)&amp;" "&amp;VLOOKUP(B6,'Angajați'!$A:$C,3,0),"N/A")</f>
        <v/>
      </c>
      <c r="D6" s="27" t="n">
        <v>45736</v>
      </c>
      <c r="E6" s="26" t="n">
        <v>5</v>
      </c>
      <c r="F6" s="26" t="inlineStr">
        <is>
          <t>Eveniment vânzări special</t>
        </is>
      </c>
      <c r="G6" s="26" t="inlineStr">
        <is>
          <t>Popescu Ion</t>
        </is>
      </c>
      <c r="H6" s="26" t="inlineStr">
        <is>
          <t>Plată</t>
        </is>
      </c>
      <c r="I6" s="26" t="inlineStr">
        <is>
          <t>75%</t>
        </is>
      </c>
      <c r="J6" s="29">
        <f>IFERROR(ROUND(VLOOKUP(B6,Contracte!$B:$I,8,0)/(22*Configurare!$B$10),2),0)</f>
        <v/>
      </c>
      <c r="K6" s="29">
        <f>IF(E6&lt;&gt;"",ROUND(E6*J6*(1+SUBSTITUTE(I6,"%","")/100),2),0)</f>
        <v/>
      </c>
      <c r="L6" s="26" t="inlineStr">
        <is>
          <t>Aprobat</t>
        </is>
      </c>
      <c r="M6" s="26" t="inlineStr"/>
    </row>
    <row r="8">
      <c r="A8" s="34" t="inlineStr">
        <is>
          <t>TOTAL</t>
        </is>
      </c>
      <c r="E8" s="34">
        <f>SUM(E3:E6)</f>
        <v/>
      </c>
      <c r="K8" s="35">
        <f>SUM(K3:K6)</f>
        <v/>
      </c>
    </row>
    <row r="10">
      <c r="A10" s="36" t="inlineStr">
        <is>
          <t>LEGISLAȚIE: Conform Codului Muncii, orele suplimentare se compensează cu:</t>
        </is>
      </c>
    </row>
    <row r="11">
      <c r="A11" s="36" t="inlineStr">
        <is>
          <t xml:space="preserve">  - Spor 75% pentru zile lucrătoare</t>
        </is>
      </c>
    </row>
    <row r="12">
      <c r="A12" s="36" t="inlineStr">
        <is>
          <t xml:space="preserve">  - Spor 100% pentru weekend și sărbători legale</t>
        </is>
      </c>
    </row>
    <row r="13">
      <c r="A13" s="36" t="inlineStr">
        <is>
          <t xml:space="preserve">  - Sau timp liber corespunzător în următoarele 60 zile</t>
        </is>
      </c>
    </row>
  </sheetData>
  <autoFilter ref="A2:M2"/>
  <mergeCells count="1">
    <mergeCell ref="A1:M1"/>
  </mergeCells>
  <conditionalFormatting sqref="L3:L1000">
    <cfRule type="cellIs" priority="1" operator="equal" dxfId="0">
      <formula>"Aprobat"</formula>
    </cfRule>
    <cfRule type="cellIs" priority="2" operator="equal" dxfId="2">
      <formula>"Solicitat"</formula>
    </cfRule>
    <cfRule type="cellIs" priority="3" operator="equal" dxfId="14">
      <formula>"Compensat"</formula>
    </cfRule>
    <cfRule type="cellIs" priority="4" operator="equal" dxfId="1">
      <formula>"Respins"</formula>
    </cfRule>
  </conditionalFormatting>
  <dataValidations count="3">
    <dataValidation sqref="H3:H1000" showDropDown="0" showInputMessage="1" showErrorMessage="1" allowBlank="1" errorTitle="Eroare Validare" error="Valoare invalidă! Selectați din lista disponibilă." promptTitle="Selectare" prompt="Selectați o opțiune din listă" type="list">
      <formula1>"Plată,Timp Liber"</formula1>
    </dataValidation>
    <dataValidation sqref="I3:I1000" showDropDown="0" showInputMessage="1" showErrorMessage="1" allowBlank="1" errorTitle="Eroare Validare" error="Valoare invalidă! Selectați din lista disponibilă." promptTitle="Selectare" prompt="Selectați o opțiune din listă" type="list">
      <formula1>"75%,100%"</formula1>
    </dataValidation>
    <dataValidation sqref="L3:L1000" showDropDown="0" showInputMessage="1" showErrorMessage="1" allowBlank="1" errorTitle="Eroare Validare" error="Valoare invalidă! Selectați din lista disponibilă." promptTitle="Selectare" prompt="Selectați o opțiune din listă" type="list">
      <formula1>"Solicitat,Aprobat,Compensat,Respins"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5B9BD5"/>
    <outlinePr summaryBelow="1" summaryRight="1"/>
    <pageSetUpPr/>
  </sheetPr>
  <dimension ref="A1:L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0" customWidth="1" min="3" max="3"/>
    <col width="25" customWidth="1" min="4" max="4"/>
    <col width="14" customWidth="1" min="5" max="5"/>
    <col width="14" customWidth="1" min="6" max="6"/>
    <col width="8" customWidth="1" min="7" max="7"/>
    <col width="14" customWidth="1" min="8" max="8"/>
    <col width="18" customWidth="1" min="9" max="9"/>
    <col width="16" customWidth="1" min="10" max="10"/>
    <col width="14" customWidth="1" min="11" max="11"/>
    <col width="12" customWidth="1" min="12" max="12"/>
  </cols>
  <sheetData>
    <row r="1">
      <c r="A1" s="22" t="inlineStr">
        <is>
          <t>MANAGEMENT CONCEDII</t>
        </is>
      </c>
    </row>
    <row r="2">
      <c r="A2" s="23" t="inlineStr">
        <is>
          <t>ID</t>
        </is>
      </c>
      <c r="B2" s="23" t="inlineStr">
        <is>
          <t>ID Angajat</t>
        </is>
      </c>
      <c r="C2" s="23" t="inlineStr">
        <is>
          <t>Nume Angajat</t>
        </is>
      </c>
      <c r="D2" s="23" t="inlineStr">
        <is>
          <t>Tip Concediu</t>
        </is>
      </c>
      <c r="E2" s="23" t="inlineStr">
        <is>
          <t>Data Început</t>
        </is>
      </c>
      <c r="F2" s="23" t="inlineStr">
        <is>
          <t>Data Sfârșit</t>
        </is>
      </c>
      <c r="G2" s="23" t="inlineStr">
        <is>
          <t>Zile</t>
        </is>
      </c>
      <c r="H2" s="23" t="inlineStr">
        <is>
          <t>Status</t>
        </is>
      </c>
      <c r="I2" s="23" t="inlineStr">
        <is>
          <t>Aprobat De</t>
        </is>
      </c>
      <c r="J2" s="23" t="inlineStr">
        <is>
          <t>Zile Disponibile/An</t>
        </is>
      </c>
      <c r="K2" s="23" t="inlineStr">
        <is>
          <t>Zile Folosite</t>
        </is>
      </c>
      <c r="L2" s="23" t="inlineStr">
        <is>
          <t>Zile Rămase</t>
        </is>
      </c>
    </row>
    <row r="3">
      <c r="A3" s="24" t="inlineStr">
        <is>
          <t>L001</t>
        </is>
      </c>
      <c r="B3" s="24" t="inlineStr">
        <is>
          <t>A002</t>
        </is>
      </c>
      <c r="C3" s="24">
        <f>IFERROR(VLOOKUP(B3,'Angajați'!$A:$C,2,0)&amp;" "&amp;VLOOKUP(B3,'Angajați'!$A:$C,3,0),"N/A")</f>
        <v/>
      </c>
      <c r="D3" s="24" t="inlineStr">
        <is>
          <t>CO - Concediu Odihnă</t>
        </is>
      </c>
      <c r="E3" s="25" t="n">
        <v>45852</v>
      </c>
      <c r="F3" s="25" t="n">
        <v>45863</v>
      </c>
      <c r="G3" s="24">
        <f>IF(AND(E3&lt;&gt;"",F3&lt;&gt;""),NETWORKDAYS(E3,F3),"")</f>
        <v/>
      </c>
      <c r="H3" s="24" t="inlineStr">
        <is>
          <t>Aprobat</t>
        </is>
      </c>
      <c r="I3" s="24" t="inlineStr">
        <is>
          <t>Popescu Ion</t>
        </is>
      </c>
      <c r="J3" s="24" t="n">
        <v>21</v>
      </c>
      <c r="K3" s="24">
        <f>SUMPRODUCT((B$3:B$1000=B3)*(YEAR(E$3:E$1000)=YEAR(TODAY()))*(H$3:H$1000="Aprobat")*(G$3:G$1000))</f>
        <v/>
      </c>
      <c r="L3" s="24">
        <f>IF(J3&lt;&gt;"",J3-K3,"")</f>
        <v/>
      </c>
    </row>
    <row r="4">
      <c r="A4" s="26" t="inlineStr">
        <is>
          <t>L002</t>
        </is>
      </c>
      <c r="B4" s="26" t="inlineStr">
        <is>
          <t>A003</t>
        </is>
      </c>
      <c r="C4" s="26">
        <f>IFERROR(VLOOKUP(B4,'Angajați'!$A:$C,2,0)&amp;" "&amp;VLOOKUP(B4,'Angajați'!$A:$C,3,0),"N/A")</f>
        <v/>
      </c>
      <c r="D4" s="26" t="inlineStr">
        <is>
          <t>CO - Concediu Odihnă</t>
        </is>
      </c>
      <c r="E4" s="27" t="n">
        <v>45873</v>
      </c>
      <c r="F4" s="27" t="n">
        <v>45884</v>
      </c>
      <c r="G4" s="26">
        <f>IF(AND(E4&lt;&gt;"",F4&lt;&gt;""),NETWORKDAYS(E4,F4),"")</f>
        <v/>
      </c>
      <c r="H4" s="26" t="inlineStr">
        <is>
          <t>În Așteptare</t>
        </is>
      </c>
      <c r="I4" s="26" t="inlineStr"/>
      <c r="J4" s="26" t="n">
        <v>21</v>
      </c>
      <c r="K4" s="26">
        <f>SUMPRODUCT((B$3:B$1000=B4)*(YEAR(E$3:E$1000)=YEAR(TODAY()))*(H$3:H$1000="Aprobat")*(G$3:G$1000))</f>
        <v/>
      </c>
      <c r="L4" s="26">
        <f>IF(J4&lt;&gt;"",J4-K4,"")</f>
        <v/>
      </c>
    </row>
    <row r="5">
      <c r="A5" s="24" t="inlineStr">
        <is>
          <t>L003</t>
        </is>
      </c>
      <c r="B5" s="24" t="inlineStr">
        <is>
          <t>A004</t>
        </is>
      </c>
      <c r="C5" s="24">
        <f>IFERROR(VLOOKUP(B5,'Angajați'!$A:$C,2,0)&amp;" "&amp;VLOOKUP(B5,'Angajați'!$A:$C,3,0),"N/A")</f>
        <v/>
      </c>
      <c r="D5" s="24" t="inlineStr">
        <is>
          <t>CM - Concediu Medical</t>
        </is>
      </c>
      <c r="E5" s="25" t="n">
        <v>45726</v>
      </c>
      <c r="F5" s="25" t="n">
        <v>45730</v>
      </c>
      <c r="G5" s="24">
        <f>IF(AND(E5&lt;&gt;"",F5&lt;&gt;""),NETWORKDAYS(E5,F5),"")</f>
        <v/>
      </c>
      <c r="H5" s="24" t="inlineStr">
        <is>
          <t>Aprobat</t>
        </is>
      </c>
      <c r="I5" s="24" t="inlineStr">
        <is>
          <t>Popescu Ion</t>
        </is>
      </c>
      <c r="J5" s="24" t="n">
        <v>21</v>
      </c>
      <c r="K5" s="24">
        <f>SUMPRODUCT((B$3:B$1000=B5)*(YEAR(E$3:E$1000)=YEAR(TODAY()))*(H$3:H$1000="Aprobat")*(G$3:G$1000))</f>
        <v/>
      </c>
      <c r="L5" s="24">
        <f>IF(J5&lt;&gt;"",J5-K5,"")</f>
        <v/>
      </c>
    </row>
  </sheetData>
  <autoFilter ref="A2:L2"/>
  <mergeCells count="1">
    <mergeCell ref="A1:L1"/>
  </mergeCells>
  <conditionalFormatting sqref="H3:H1000">
    <cfRule type="cellIs" priority="1" operator="equal" dxfId="0">
      <formula>"Aprobat"</formula>
    </cfRule>
    <cfRule type="cellIs" priority="2" operator="equal" dxfId="1">
      <formula>"Respins"</formula>
    </cfRule>
    <cfRule type="cellIs" priority="3" operator="equal" dxfId="2">
      <formula>"În Așteptare"</formula>
    </cfRule>
  </conditionalFormatting>
  <dataValidations count="2">
    <dataValidation sqref="D3:D1000" showDropDown="0" showInputMessage="1" showErrorMessage="1" allowBlank="1" errorTitle="Eroare Validare" error="Valoare invalidă! Selectați din lista disponibilă." promptTitle="Selectare" prompt="Selectați o opțiune din listă" type="list">
      <formula1>"CO - Concediu Odihnă,CM - Concediu Medical,CFS - Concediu Fără Salariu,CCC - Concediu Creștere Copil,CE - Concediu Eveniment,CP - Concediu Paternitate,CM - Concediu Maternitate"</formula1>
    </dataValidation>
    <dataValidation sqref="H3:H1000" showDropDown="0" showInputMessage="1" showErrorMessage="1" allowBlank="1" errorTitle="Eroare Validare" error="Valoare invalidă! Selectați din lista disponibilă." promptTitle="Selectare" prompt="Selectați o opțiune din listă" type="list">
      <formula1>"Aprobat,Respins,În Așteptare"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70AD47"/>
    <outlinePr summaryBelow="1" summaryRight="1"/>
    <pageSetUpPr/>
  </sheetPr>
  <dimension ref="A1:X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0" customWidth="1" min="3" max="3"/>
    <col width="8" customWidth="1" min="4" max="4"/>
    <col width="8" customWidth="1" min="5" max="5"/>
    <col width="16" customWidth="1" min="6" max="6"/>
    <col width="12" customWidth="1" min="7" max="7"/>
    <col width="14" customWidth="1" min="8" max="8"/>
    <col width="18" customWidth="1" min="9" max="9"/>
    <col width="18" customWidth="1" min="10" max="10"/>
    <col width="16" customWidth="1" min="11" max="11"/>
    <col width="16" customWidth="1" min="12" max="12"/>
    <col width="14" customWidth="1" min="13" max="13"/>
    <col width="14" customWidth="1" min="14" max="14"/>
    <col width="16" customWidth="1" min="15" max="15"/>
    <col width="16" customWidth="1" min="16" max="16"/>
    <col width="16" customWidth="1" min="17" max="17"/>
    <col width="14" customWidth="1" min="18" max="18"/>
    <col width="14" customWidth="1" min="19" max="19"/>
    <col width="14" customWidth="1" min="20" max="20"/>
    <col width="14" customWidth="1" min="21" max="21"/>
    <col width="16" customWidth="1" min="22" max="22"/>
    <col width="18" customWidth="1" min="23" max="23"/>
    <col width="18" customWidth="1" min="24" max="24"/>
  </cols>
  <sheetData>
    <row r="1">
      <c r="A1" s="22" t="inlineStr">
        <is>
          <t>STAT DE PLATĂ - SALARIZARE</t>
        </is>
      </c>
    </row>
    <row r="2">
      <c r="A2" s="23" t="inlineStr">
        <is>
          <t>ID</t>
        </is>
      </c>
      <c r="B2" s="23" t="inlineStr">
        <is>
          <t>ID Angajat</t>
        </is>
      </c>
      <c r="C2" s="23" t="inlineStr">
        <is>
          <t>Nume Angajat</t>
        </is>
      </c>
      <c r="D2" s="23" t="inlineStr">
        <is>
          <t>Luna</t>
        </is>
      </c>
      <c r="E2" s="23" t="inlineStr">
        <is>
          <t>An</t>
        </is>
      </c>
      <c r="F2" s="23" t="inlineStr">
        <is>
          <t>Salariu Brut Bază</t>
        </is>
      </c>
      <c r="G2" s="23" t="inlineStr">
        <is>
          <t>Zile Lucrate</t>
        </is>
      </c>
      <c r="H2" s="23" t="inlineStr">
        <is>
          <t>Zile Totale Lună</t>
        </is>
      </c>
      <c r="I2" s="23" t="inlineStr">
        <is>
          <t>Salariu Proporțional</t>
        </is>
      </c>
      <c r="J2" s="23" t="inlineStr">
        <is>
          <t>Ore Suplimentare (val)</t>
        </is>
      </c>
      <c r="K2" s="23" t="inlineStr">
        <is>
          <t>Indemnizație CO</t>
        </is>
      </c>
      <c r="L2" s="23" t="inlineStr">
        <is>
          <t>Total Brut</t>
        </is>
      </c>
      <c r="M2" s="23" t="inlineStr">
        <is>
          <t>CAS 25%</t>
        </is>
      </c>
      <c r="N2" s="23" t="inlineStr">
        <is>
          <t>CASS 10%</t>
        </is>
      </c>
      <c r="O2" s="23" t="inlineStr">
        <is>
          <t>Nr. Pers. Întreținere</t>
        </is>
      </c>
      <c r="P2" s="23" t="inlineStr">
        <is>
          <t>Deducere Personală</t>
        </is>
      </c>
      <c r="Q2" s="23" t="inlineStr">
        <is>
          <t>Baza Impozabilă</t>
        </is>
      </c>
      <c r="R2" s="23" t="inlineStr">
        <is>
          <t>Impozit 10%</t>
        </is>
      </c>
      <c r="S2" s="23" t="inlineStr">
        <is>
          <t>Alte Deduceri</t>
        </is>
      </c>
      <c r="T2" s="23" t="inlineStr">
        <is>
          <t>Tichete Masă</t>
        </is>
      </c>
      <c r="U2" s="23" t="inlineStr">
        <is>
          <t>Total Rețineri</t>
        </is>
      </c>
      <c r="V2" s="23" t="inlineStr">
        <is>
          <t>Salariu Net</t>
        </is>
      </c>
      <c r="W2" s="23" t="inlineStr">
        <is>
          <t>CAM 2.25% (angajator)</t>
        </is>
      </c>
      <c r="X2" s="23" t="inlineStr">
        <is>
          <t>Cost Total Angajator</t>
        </is>
      </c>
    </row>
    <row r="3">
      <c r="A3" s="30" t="inlineStr">
        <is>
          <t>S001</t>
        </is>
      </c>
      <c r="B3" s="30" t="inlineStr">
        <is>
          <t>A001</t>
        </is>
      </c>
      <c r="C3" s="30">
        <f>IFERROR(VLOOKUP(B3,'Angajați'!$A:$C,2,0)&amp;" "&amp;VLOOKUP(B3,'Angajați'!$A:$C,3,0),"N/A")</f>
        <v/>
      </c>
      <c r="D3" s="30" t="n">
        <v>3</v>
      </c>
      <c r="E3" s="30" t="n">
        <v>2025</v>
      </c>
      <c r="F3" s="31" t="n">
        <v>25000</v>
      </c>
      <c r="G3" s="30">
        <f>IFERROR(SUMPRODUCT((Pontaj!$A$3:$A$200=B3)*(Pontaj!$D$3:$D$200=D3)*(Pontaj!$E$3:$E$200=E3)*Pontaj!$AK$3:$AK$200),0)</f>
        <v/>
      </c>
      <c r="H3" s="30">
        <f>NETWORKDAYS(DATE(E3,D3,1),EOMONTH(DATE(E3,D3,1),0))</f>
        <v/>
      </c>
      <c r="I3" s="31">
        <f>IF(H3&gt;0,ROUND(F3*G3/H3,2),0)</f>
        <v/>
      </c>
      <c r="J3" s="31">
        <f>IFERROR(SUMPRODUCT(('Ore Suplimentare'!$B$3:$B$200=B3)*(MONTH('Ore Suplimentare'!$D$3:$D$200)=D3)*(YEAR('Ore Suplimentare'!$D$3:$D$200)=E3)*('Ore Suplimentare'!$L$3:$L$200="Aprobat")*'Ore Suplimentare'!$K$3:$K$200),0)</f>
        <v/>
      </c>
      <c r="K3" s="31">
        <f>IFERROR(SUMPRODUCT((Pontaj!$A$3:$A$200=B3)*(Pontaj!$D$3:$D$200=D3)*(Pontaj!$E$3:$E$200=E3)*Pontaj!$AL$3:$AL$200)*IF(H3&gt;0,F3/H3,0),0)</f>
        <v/>
      </c>
      <c r="L3" s="31">
        <f>I3+J3+K3</f>
        <v/>
      </c>
      <c r="M3" s="31">
        <f>ROUND(L3*0.25,2)</f>
        <v/>
      </c>
      <c r="N3" s="31">
        <f>ROUND(L3*0.1,2)</f>
        <v/>
      </c>
      <c r="O3" s="30" t="n">
        <v>0</v>
      </c>
      <c r="P3" s="31">
        <f>IF(L3&gt;4050*2,0,ROUND(IF(O3=0,4050*0.075,IF(O3=1,4050*0.1,IF(O3=2,4050*0.15,IF(O3=3,4050*0.2,4050*0.25))))*(1-(L3-4050)/(4050)),0))</f>
        <v/>
      </c>
      <c r="Q3" s="31">
        <f>MAX(L3-M3-N3-P3,0)</f>
        <v/>
      </c>
      <c r="R3" s="31">
        <f>ROUND(Q3*0.1,2)</f>
        <v/>
      </c>
      <c r="S3" s="31" t="n">
        <v>0</v>
      </c>
      <c r="T3" s="31" t="n">
        <v>0</v>
      </c>
      <c r="U3" s="31">
        <f>M3+N3+R3+S3</f>
        <v/>
      </c>
      <c r="V3" s="31">
        <f>L3-U3+T3</f>
        <v/>
      </c>
      <c r="W3" s="31">
        <f>ROUND(L3*0.0225,2)</f>
        <v/>
      </c>
      <c r="X3" s="31">
        <f>L3+W3</f>
        <v/>
      </c>
    </row>
    <row r="4">
      <c r="A4" s="30" t="inlineStr">
        <is>
          <t>S002</t>
        </is>
      </c>
      <c r="B4" s="30" t="inlineStr">
        <is>
          <t>A002</t>
        </is>
      </c>
      <c r="C4" s="30">
        <f>IFERROR(VLOOKUP(B4,'Angajați'!$A:$C,2,0)&amp;" "&amp;VLOOKUP(B4,'Angajați'!$A:$C,3,0),"N/A")</f>
        <v/>
      </c>
      <c r="D4" s="30" t="n">
        <v>3</v>
      </c>
      <c r="E4" s="30" t="n">
        <v>2025</v>
      </c>
      <c r="F4" s="31" t="n">
        <v>14000</v>
      </c>
      <c r="G4" s="30">
        <f>IFERROR(SUMPRODUCT((Pontaj!$A$3:$A$200=B4)*(Pontaj!$D$3:$D$200=D4)*(Pontaj!$E$3:$E$200=E4)*Pontaj!$AK$3:$AK$200),0)</f>
        <v/>
      </c>
      <c r="H4" s="30">
        <f>NETWORKDAYS(DATE(E4,D4,1),EOMONTH(DATE(E4,D4,1),0))</f>
        <v/>
      </c>
      <c r="I4" s="31">
        <f>IF(H4&gt;0,ROUND(F4*G4/H4,2),0)</f>
        <v/>
      </c>
      <c r="J4" s="31">
        <f>IFERROR(SUMPRODUCT(('Ore Suplimentare'!$B$3:$B$200=B4)*(MONTH('Ore Suplimentare'!$D$3:$D$200)=D4)*(YEAR('Ore Suplimentare'!$D$3:$D$200)=E4)*('Ore Suplimentare'!$L$3:$L$200="Aprobat")*'Ore Suplimentare'!$K$3:$K$200),0)</f>
        <v/>
      </c>
      <c r="K4" s="31">
        <f>IFERROR(SUMPRODUCT((Pontaj!$A$3:$A$200=B4)*(Pontaj!$D$3:$D$200=D4)*(Pontaj!$E$3:$E$200=E4)*Pontaj!$AL$3:$AL$200)*IF(H4&gt;0,F4/H4,0),0)</f>
        <v/>
      </c>
      <c r="L4" s="31">
        <f>I4+J4+K4</f>
        <v/>
      </c>
      <c r="M4" s="31">
        <f>ROUND(L4*0.25,2)</f>
        <v/>
      </c>
      <c r="N4" s="31">
        <f>ROUND(L4*0.1,2)</f>
        <v/>
      </c>
      <c r="O4" s="30" t="n">
        <v>0</v>
      </c>
      <c r="P4" s="31">
        <f>IF(L4&gt;4050*2,0,ROUND(IF(O4=0,4050*0.075,IF(O4=1,4050*0.1,IF(O4=2,4050*0.15,IF(O4=3,4050*0.2,4050*0.25))))*(1-(L4-4050)/(4050)),0))</f>
        <v/>
      </c>
      <c r="Q4" s="31">
        <f>MAX(L4-M4-N4-P4,0)</f>
        <v/>
      </c>
      <c r="R4" s="31">
        <f>ROUND(Q4*0.1,2)</f>
        <v/>
      </c>
      <c r="S4" s="31" t="n">
        <v>0</v>
      </c>
      <c r="T4" s="31" t="n">
        <v>0</v>
      </c>
      <c r="U4" s="31">
        <f>M4+N4+R4+S4</f>
        <v/>
      </c>
      <c r="V4" s="31">
        <f>L4-U4+T4</f>
        <v/>
      </c>
      <c r="W4" s="31">
        <f>ROUND(L4*0.0225,2)</f>
        <v/>
      </c>
      <c r="X4" s="31">
        <f>L4+W4</f>
        <v/>
      </c>
    </row>
    <row r="5">
      <c r="A5" s="30" t="inlineStr">
        <is>
          <t>S003</t>
        </is>
      </c>
      <c r="B5" s="30" t="inlineStr">
        <is>
          <t>A003</t>
        </is>
      </c>
      <c r="C5" s="30">
        <f>IFERROR(VLOOKUP(B5,'Angajați'!$A:$C,2,0)&amp;" "&amp;VLOOKUP(B5,'Angajați'!$A:$C,3,0),"N/A")</f>
        <v/>
      </c>
      <c r="D5" s="30" t="n">
        <v>3</v>
      </c>
      <c r="E5" s="30" t="n">
        <v>2025</v>
      </c>
      <c r="F5" s="31" t="n">
        <v>7500</v>
      </c>
      <c r="G5" s="30">
        <f>IFERROR(SUMPRODUCT((Pontaj!$A$3:$A$200=B5)*(Pontaj!$D$3:$D$200=D5)*(Pontaj!$E$3:$E$200=E5)*Pontaj!$AK$3:$AK$200),0)</f>
        <v/>
      </c>
      <c r="H5" s="30">
        <f>NETWORKDAYS(DATE(E5,D5,1),EOMONTH(DATE(E5,D5,1),0))</f>
        <v/>
      </c>
      <c r="I5" s="31">
        <f>IF(H5&gt;0,ROUND(F5*G5/H5,2),0)</f>
        <v/>
      </c>
      <c r="J5" s="31">
        <f>IFERROR(SUMPRODUCT(('Ore Suplimentare'!$B$3:$B$200=B5)*(MONTH('Ore Suplimentare'!$D$3:$D$200)=D5)*(YEAR('Ore Suplimentare'!$D$3:$D$200)=E5)*('Ore Suplimentare'!$L$3:$L$200="Aprobat")*'Ore Suplimentare'!$K$3:$K$200),0)</f>
        <v/>
      </c>
      <c r="K5" s="31">
        <f>IFERROR(SUMPRODUCT((Pontaj!$A$3:$A$200=B5)*(Pontaj!$D$3:$D$200=D5)*(Pontaj!$E$3:$E$200=E5)*Pontaj!$AL$3:$AL$200)*IF(H5&gt;0,F5/H5,0),0)</f>
        <v/>
      </c>
      <c r="L5" s="31">
        <f>I5+J5+K5</f>
        <v/>
      </c>
      <c r="M5" s="31">
        <f>ROUND(L5*0.25,2)</f>
        <v/>
      </c>
      <c r="N5" s="31">
        <f>ROUND(L5*0.1,2)</f>
        <v/>
      </c>
      <c r="O5" s="30" t="n">
        <v>2</v>
      </c>
      <c r="P5" s="31">
        <f>IF(L5&gt;4050*2,0,ROUND(IF(O5=0,4050*0.075,IF(O5=1,4050*0.1,IF(O5=2,4050*0.15,IF(O5=3,4050*0.2,4050*0.25))))*(1-(L5-4050)/(4050)),0))</f>
        <v/>
      </c>
      <c r="Q5" s="31">
        <f>MAX(L5-M5-N5-P5,0)</f>
        <v/>
      </c>
      <c r="R5" s="31">
        <f>ROUND(Q5*0.1,2)</f>
        <v/>
      </c>
      <c r="S5" s="31" t="n">
        <v>0</v>
      </c>
      <c r="T5" s="31" t="n">
        <v>0</v>
      </c>
      <c r="U5" s="31">
        <f>M5+N5+R5+S5</f>
        <v/>
      </c>
      <c r="V5" s="31">
        <f>L5-U5+T5</f>
        <v/>
      </c>
      <c r="W5" s="31">
        <f>ROUND(L5*0.0225,2)</f>
        <v/>
      </c>
      <c r="X5" s="31">
        <f>L5+W5</f>
        <v/>
      </c>
    </row>
    <row r="6">
      <c r="A6" s="30" t="inlineStr">
        <is>
          <t>S004</t>
        </is>
      </c>
      <c r="B6" s="30" t="inlineStr">
        <is>
          <t>A004</t>
        </is>
      </c>
      <c r="C6" s="30">
        <f>IFERROR(VLOOKUP(B6,'Angajați'!$A:$C,2,0)&amp;" "&amp;VLOOKUP(B6,'Angajați'!$A:$C,3,0),"N/A")</f>
        <v/>
      </c>
      <c r="D6" s="30" t="n">
        <v>3</v>
      </c>
      <c r="E6" s="30" t="n">
        <v>2025</v>
      </c>
      <c r="F6" s="31" t="n">
        <v>9000</v>
      </c>
      <c r="G6" s="30">
        <f>IFERROR(SUMPRODUCT((Pontaj!$A$3:$A$200=B6)*(Pontaj!$D$3:$D$200=D6)*(Pontaj!$E$3:$E$200=E6)*Pontaj!$AK$3:$AK$200),0)</f>
        <v/>
      </c>
      <c r="H6" s="30">
        <f>NETWORKDAYS(DATE(E6,D6,1),EOMONTH(DATE(E6,D6,1),0))</f>
        <v/>
      </c>
      <c r="I6" s="31">
        <f>IF(H6&gt;0,ROUND(F6*G6/H6,2),0)</f>
        <v/>
      </c>
      <c r="J6" s="31">
        <f>IFERROR(SUMPRODUCT(('Ore Suplimentare'!$B$3:$B$200=B6)*(MONTH('Ore Suplimentare'!$D$3:$D$200)=D6)*(YEAR('Ore Suplimentare'!$D$3:$D$200)=E6)*('Ore Suplimentare'!$L$3:$L$200="Aprobat")*'Ore Suplimentare'!$K$3:$K$200),0)</f>
        <v/>
      </c>
      <c r="K6" s="31">
        <f>IFERROR(SUMPRODUCT((Pontaj!$A$3:$A$200=B6)*(Pontaj!$D$3:$D$200=D6)*(Pontaj!$E$3:$E$200=E6)*Pontaj!$AL$3:$AL$200)*IF(H6&gt;0,F6/H6,0),0)</f>
        <v/>
      </c>
      <c r="L6" s="31">
        <f>I6+J6+K6</f>
        <v/>
      </c>
      <c r="M6" s="31">
        <f>ROUND(L6*0.25,2)</f>
        <v/>
      </c>
      <c r="N6" s="31">
        <f>ROUND(L6*0.1,2)</f>
        <v/>
      </c>
      <c r="O6" s="30" t="n">
        <v>1</v>
      </c>
      <c r="P6" s="31">
        <f>IF(L6&gt;4050*2,0,ROUND(IF(O6=0,4050*0.075,IF(O6=1,4050*0.1,IF(O6=2,4050*0.15,IF(O6=3,4050*0.2,4050*0.25))))*(1-(L6-4050)/(4050)),0))</f>
        <v/>
      </c>
      <c r="Q6" s="31">
        <f>MAX(L6-M6-N6-P6,0)</f>
        <v/>
      </c>
      <c r="R6" s="31">
        <f>ROUND(Q6*0.1,2)</f>
        <v/>
      </c>
      <c r="S6" s="31" t="n">
        <v>0</v>
      </c>
      <c r="T6" s="31" t="n">
        <v>0</v>
      </c>
      <c r="U6" s="31">
        <f>M6+N6+R6+S6</f>
        <v/>
      </c>
      <c r="V6" s="31">
        <f>L6-U6+T6</f>
        <v/>
      </c>
      <c r="W6" s="31">
        <f>ROUND(L6*0.0225,2)</f>
        <v/>
      </c>
      <c r="X6" s="31">
        <f>L6+W6</f>
        <v/>
      </c>
    </row>
    <row r="7">
      <c r="A7" s="30" t="inlineStr">
        <is>
          <t>S005</t>
        </is>
      </c>
      <c r="B7" s="30" t="inlineStr">
        <is>
          <t>A005</t>
        </is>
      </c>
      <c r="C7" s="30">
        <f>IFERROR(VLOOKUP(B7,'Angajați'!$A:$C,2,0)&amp;" "&amp;VLOOKUP(B7,'Angajați'!$A:$C,3,0),"N/A")</f>
        <v/>
      </c>
      <c r="D7" s="30" t="n">
        <v>3</v>
      </c>
      <c r="E7" s="30" t="n">
        <v>2025</v>
      </c>
      <c r="F7" s="31" t="n">
        <v>12000</v>
      </c>
      <c r="G7" s="30">
        <f>IFERROR(SUMPRODUCT((Pontaj!$A$3:$A$200=B7)*(Pontaj!$D$3:$D$200=D7)*(Pontaj!$E$3:$E$200=E7)*Pontaj!$AK$3:$AK$200),0)</f>
        <v/>
      </c>
      <c r="H7" s="30">
        <f>NETWORKDAYS(DATE(E7,D7,1),EOMONTH(DATE(E7,D7,1),0))</f>
        <v/>
      </c>
      <c r="I7" s="31">
        <f>IF(H7&gt;0,ROUND(F7*G7/H7,2),0)</f>
        <v/>
      </c>
      <c r="J7" s="31">
        <f>IFERROR(SUMPRODUCT(('Ore Suplimentare'!$B$3:$B$200=B7)*(MONTH('Ore Suplimentare'!$D$3:$D$200)=D7)*(YEAR('Ore Suplimentare'!$D$3:$D$200)=E7)*('Ore Suplimentare'!$L$3:$L$200="Aprobat")*'Ore Suplimentare'!$K$3:$K$200),0)</f>
        <v/>
      </c>
      <c r="K7" s="31">
        <f>IFERROR(SUMPRODUCT((Pontaj!$A$3:$A$200=B7)*(Pontaj!$D$3:$D$200=D7)*(Pontaj!$E$3:$E$200=E7)*Pontaj!$AL$3:$AL$200)*IF(H7&gt;0,F7/H7,0),0)</f>
        <v/>
      </c>
      <c r="L7" s="31">
        <f>I7+J7+K7</f>
        <v/>
      </c>
      <c r="M7" s="31">
        <f>ROUND(L7*0.25,2)</f>
        <v/>
      </c>
      <c r="N7" s="31">
        <f>ROUND(L7*0.1,2)</f>
        <v/>
      </c>
      <c r="O7" s="30" t="n">
        <v>0</v>
      </c>
      <c r="P7" s="31">
        <f>IF(L7&gt;4050*2,0,ROUND(IF(O7=0,4050*0.075,IF(O7=1,4050*0.1,IF(O7=2,4050*0.15,IF(O7=3,4050*0.2,4050*0.25))))*(1-(L7-4050)/(4050)),0))</f>
        <v/>
      </c>
      <c r="Q7" s="31">
        <f>MAX(L7-M7-N7-P7,0)</f>
        <v/>
      </c>
      <c r="R7" s="31">
        <f>ROUND(Q7*0.1,2)</f>
        <v/>
      </c>
      <c r="S7" s="31" t="n">
        <v>0</v>
      </c>
      <c r="T7" s="31" t="n">
        <v>0</v>
      </c>
      <c r="U7" s="31">
        <f>M7+N7+R7+S7</f>
        <v/>
      </c>
      <c r="V7" s="31">
        <f>L7-U7+T7</f>
        <v/>
      </c>
      <c r="W7" s="31">
        <f>ROUND(L7*0.0225,2)</f>
        <v/>
      </c>
      <c r="X7" s="31">
        <f>L7+W7</f>
        <v/>
      </c>
    </row>
    <row r="8">
      <c r="A8" s="37" t="inlineStr">
        <is>
          <t>TOTAL</t>
        </is>
      </c>
      <c r="F8" s="38">
        <f>SUM(F3:F7)</f>
        <v/>
      </c>
      <c r="I8" s="38">
        <f>SUM(I3:I7)</f>
        <v/>
      </c>
      <c r="J8" s="38">
        <f>SUM(J3:J7)</f>
        <v/>
      </c>
      <c r="K8" s="38">
        <f>SUM(K3:K7)</f>
        <v/>
      </c>
      <c r="L8" s="38">
        <f>SUM(L3:L7)</f>
        <v/>
      </c>
      <c r="M8" s="38">
        <f>SUM(M3:M7)</f>
        <v/>
      </c>
      <c r="N8" s="38">
        <f>SUM(N3:N7)</f>
        <v/>
      </c>
      <c r="P8" s="38">
        <f>SUM(P3:P7)</f>
        <v/>
      </c>
      <c r="Q8" s="38">
        <f>SUM(Q3:Q7)</f>
        <v/>
      </c>
      <c r="R8" s="38">
        <f>SUM(R3:R7)</f>
        <v/>
      </c>
      <c r="S8" s="38">
        <f>SUM(S3:S7)</f>
        <v/>
      </c>
      <c r="T8" s="38">
        <f>SUM(T3:T7)</f>
        <v/>
      </c>
      <c r="U8" s="38">
        <f>SUM(U3:U7)</f>
        <v/>
      </c>
      <c r="V8" s="38">
        <f>SUM(V3:V7)</f>
        <v/>
      </c>
      <c r="W8" s="38">
        <f>SUM(W3:W7)</f>
        <v/>
      </c>
      <c r="X8" s="38">
        <f>SUM(X3:X7)</f>
        <v/>
      </c>
    </row>
    <row r="10">
      <c r="A10" s="34" t="inlineStr">
        <is>
          <t>FORMULE CALCUL:</t>
        </is>
      </c>
    </row>
    <row r="11">
      <c r="A11" s="36" t="inlineStr">
        <is>
          <t>CAS = Total Brut × 25% (contribuție pensie angajat)</t>
        </is>
      </c>
    </row>
    <row r="12">
      <c r="A12" s="36" t="inlineStr">
        <is>
          <t>CASS = Total Brut × 10% (contribuție sănătate angajat)</t>
        </is>
      </c>
    </row>
    <row r="13">
      <c r="A13" s="36" t="inlineStr">
        <is>
          <t>Total Brut = Salariu Proporțional + Ore Suplimentare + Indemnizație CO</t>
        </is>
      </c>
    </row>
    <row r="14">
      <c r="A14" s="36" t="inlineStr">
        <is>
          <t>Deducere Personală = funcție de venitul brut și nr. persoane în întreținere</t>
        </is>
      </c>
    </row>
    <row r="15">
      <c r="A15" s="36" t="inlineStr">
        <is>
          <t>Baza Impozabilă = Total Brut - CAS - CASS - Deducere Personală</t>
        </is>
      </c>
    </row>
    <row r="16">
      <c r="A16" s="36" t="inlineStr">
        <is>
          <t>Impozit = Baza Impozabilă × 10%</t>
        </is>
      </c>
    </row>
    <row r="17">
      <c r="A17" s="36" t="inlineStr">
        <is>
          <t>Total Rețineri = CAS + CASS + Impozit + Alte Deduceri</t>
        </is>
      </c>
    </row>
    <row r="18">
      <c r="A18" s="36" t="inlineStr">
        <is>
          <t>Salariu Net = Total Brut - Total Rețineri + Tichete Masă</t>
        </is>
      </c>
    </row>
    <row r="19">
      <c r="A19" s="36" t="inlineStr">
        <is>
          <t>CAM = Total Brut × 2.25% (contribuție angajator)</t>
        </is>
      </c>
    </row>
    <row r="20">
      <c r="A20" s="36" t="inlineStr">
        <is>
          <t>Cost Total Angajator = Total Brut + CAM</t>
        </is>
      </c>
    </row>
  </sheetData>
  <autoFilter ref="A2:X2"/>
  <mergeCells count="1">
    <mergeCell ref="A1:X1"/>
  </mergeCells>
  <conditionalFormatting sqref="V3:V1000">
    <cfRule type="expression" priority="1" dxfId="3">
      <formula>AND(V3&lt;&gt;"",V3&lt;4050*0.585)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43A047"/>
    <outlinePr summaryBelow="1" summaryRight="1"/>
    <pageSetUpPr fitToPage="1"/>
  </sheetPr>
  <dimension ref="A1:F30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8" customWidth="1" min="3" max="3"/>
    <col width="5" customWidth="1" min="4" max="4"/>
    <col width="22" customWidth="1" min="5" max="5"/>
    <col width="18" customWidth="1" min="6" max="6"/>
  </cols>
  <sheetData>
    <row r="1">
      <c r="A1" s="39" t="inlineStr">
        <is>
          <t>Selectați rândul din Salarizare:</t>
        </is>
      </c>
      <c r="C1" s="40" t="n">
        <v>3</v>
      </c>
      <c r="D1" s="36" t="inlineStr">
        <is>
          <t>← Introduceți nr. rândului din foaia Salarizare (3, 4, 5...)</t>
        </is>
      </c>
    </row>
    <row r="3">
      <c r="A3" s="22">
        <f>Configurare!B13</f>
        <v/>
      </c>
    </row>
    <row r="4">
      <c r="A4" s="41">
        <f>Configurare!B14</f>
        <v/>
      </c>
    </row>
    <row r="5">
      <c r="A5" s="42">
        <f>"FLUTURAȘ DE SALARIU - "&amp;INDIRECT("Salarizare!D"&amp;C1)&amp;"/"&amp;INDIRECT("Salarizare!E"&amp;C1)</f>
        <v/>
      </c>
    </row>
    <row r="7">
      <c r="A7" s="43" t="inlineStr">
        <is>
          <t>DATE ANGAJAT</t>
        </is>
      </c>
    </row>
    <row r="8">
      <c r="A8" s="44" t="inlineStr">
        <is>
          <t>Marcă:</t>
        </is>
      </c>
      <c r="B8" s="45">
        <f>INDIRECT("Salarizare!B"&amp;C1)</f>
        <v/>
      </c>
      <c r="D8" s="44" t="inlineStr">
        <is>
          <t>Nume Prenume:</t>
        </is>
      </c>
      <c r="E8" s="45">
        <f>INDIRECT("Salarizare!C"&amp;C1)</f>
        <v/>
      </c>
    </row>
    <row r="9">
      <c r="A9" s="44" t="inlineStr">
        <is>
          <t>Departament:</t>
        </is>
      </c>
      <c r="B9" s="45">
        <f>IFERROR(VLOOKUP(INDIRECT("Salarizare!B"&amp;C1),'Angajați'!$A:$K,11,0),"N/A")</f>
        <v/>
      </c>
      <c r="D9" s="44" t="inlineStr">
        <is>
          <t>Funcție:</t>
        </is>
      </c>
      <c r="E9" s="45">
        <f>IFERROR(VLOOKUP(INDIRECT("Salarizare!B"&amp;C1),'Angajați'!$A:$L,12,0),"N/A")</f>
        <v/>
      </c>
    </row>
    <row r="10">
      <c r="A10" s="44" t="inlineStr">
        <is>
          <t>CNP:</t>
        </is>
      </c>
      <c r="B10" s="45">
        <f>IFERROR(VLOOKUP(INDIRECT("Salarizare!B"&amp;C1),'Angajați'!$A:$D,4,0),"N/A")</f>
        <v/>
      </c>
      <c r="D10" s="44" t="inlineStr">
        <is>
          <t>IBAN:</t>
        </is>
      </c>
      <c r="E10" s="45">
        <f>IFERROR(VLOOKUP(INDIRECT("Salarizare!B"&amp;C1),'Angajați'!$A:$S,19,0),"N/A")</f>
        <v/>
      </c>
    </row>
    <row r="12">
      <c r="A12" s="43" t="inlineStr">
        <is>
          <t>VENITURI</t>
        </is>
      </c>
      <c r="D12" s="43" t="inlineStr">
        <is>
          <t>REȚINERI</t>
        </is>
      </c>
    </row>
    <row r="13">
      <c r="A13" s="46" t="inlineStr">
        <is>
          <t>Descriere</t>
        </is>
      </c>
      <c r="B13" s="46" t="inlineStr">
        <is>
          <t>Suma (RON)</t>
        </is>
      </c>
      <c r="D13" s="46" t="inlineStr">
        <is>
          <t>Descriere</t>
        </is>
      </c>
      <c r="E13" s="46" t="inlineStr">
        <is>
          <t>Suma (RON)</t>
        </is>
      </c>
    </row>
    <row r="14">
      <c r="A14" s="47" t="inlineStr">
        <is>
          <t>Salariu Brut Bază</t>
        </is>
      </c>
      <c r="B14" s="48">
        <f>INDIRECT("Salarizare!F"&amp;C1)</f>
        <v/>
      </c>
      <c r="D14" s="47" t="inlineStr">
        <is>
          <t>CAS 25% (Pensie)</t>
        </is>
      </c>
      <c r="E14" s="48">
        <f>INDIRECT("Salarizare!J"&amp;C1)</f>
        <v/>
      </c>
    </row>
    <row r="15">
      <c r="A15" s="47" t="inlineStr">
        <is>
          <t>Zile Lucrate / Total</t>
        </is>
      </c>
      <c r="B15" s="48">
        <f>INDIRECT("Salarizare!G"&amp;C1)&amp;" / "&amp;INDIRECT("Salarizare!H"&amp;C1)</f>
        <v/>
      </c>
      <c r="D15" s="47" t="inlineStr">
        <is>
          <t>CASS 10% (Sănătate)</t>
        </is>
      </c>
      <c r="E15" s="48">
        <f>INDIRECT("Salarizare!K"&amp;C1)</f>
        <v/>
      </c>
    </row>
    <row r="16">
      <c r="A16" s="47" t="inlineStr">
        <is>
          <t>Salariu Proporțional</t>
        </is>
      </c>
      <c r="B16" s="48">
        <f>INDIRECT("Salarizare!I"&amp;C1)</f>
        <v/>
      </c>
      <c r="D16" s="47" t="inlineStr">
        <is>
          <t>Impozit 10%</t>
        </is>
      </c>
      <c r="E16" s="48">
        <f>INDIRECT("Salarizare!N"&amp;C1)</f>
        <v/>
      </c>
    </row>
    <row r="17">
      <c r="A17" s="47" t="inlineStr">
        <is>
          <t>Tichete Masă</t>
        </is>
      </c>
      <c r="B17" s="48">
        <f>INDIRECT("Salarizare!P"&amp;C1)</f>
        <v/>
      </c>
      <c r="D17" s="47" t="inlineStr">
        <is>
          <t>Alte Deduceri</t>
        </is>
      </c>
      <c r="E17" s="48">
        <f>INDIRECT("Salarizare!O"&amp;C1)</f>
        <v/>
      </c>
    </row>
    <row r="19">
      <c r="A19" s="49" t="inlineStr">
        <is>
          <t>TOTAL VENITURI BRUTE</t>
        </is>
      </c>
      <c r="B19" s="50">
        <f>INDIRECT("Salarizare!I"&amp;C1)+INDIRECT("Salarizare!P"&amp;C1)</f>
        <v/>
      </c>
      <c r="D19" s="49" t="inlineStr">
        <is>
          <t>TOTAL REȚINERI</t>
        </is>
      </c>
      <c r="E19" s="50">
        <f>INDIRECT("Salarizare!J"&amp;C1)+INDIRECT("Salarizare!K"&amp;C1)+INDIRECT("Salarizare!N"&amp;C1)+INDIRECT("Salarizare!O"&amp;C1)</f>
        <v/>
      </c>
    </row>
    <row r="21">
      <c r="A21" s="51">
        <f>"SALARIU NET DE PLATĂ: "&amp;TEXT(INDIRECT("Salarizare!Q"&amp;C1),"#,##0.00")&amp;" RON"</f>
        <v/>
      </c>
    </row>
    <row r="23">
      <c r="A23" s="43" t="inlineStr">
        <is>
          <t>CONTRIBUȚII ANGAJATOR</t>
        </is>
      </c>
    </row>
    <row r="24">
      <c r="A24" s="47" t="inlineStr">
        <is>
          <t>CAM 2.25%</t>
        </is>
      </c>
      <c r="B24" s="52">
        <f>INDIRECT("Salarizare!R"&amp;C1)</f>
        <v/>
      </c>
    </row>
    <row r="25">
      <c r="A25" s="49" t="inlineStr">
        <is>
          <t>Cost Total Angajator</t>
        </is>
      </c>
      <c r="B25" s="53">
        <f>INDIRECT("Salarizare!S"&amp;C1)</f>
        <v/>
      </c>
    </row>
    <row r="27">
      <c r="A27" s="20" t="inlineStr">
        <is>
          <t>Întocmit,</t>
        </is>
      </c>
      <c r="D27" s="20" t="inlineStr">
        <is>
          <t>Luat la cunoștință,</t>
        </is>
      </c>
    </row>
    <row r="29">
      <c r="A29" s="20" t="inlineStr">
        <is>
          <t>_____________________</t>
        </is>
      </c>
      <c r="D29" s="20" t="inlineStr">
        <is>
          <t>_____________________</t>
        </is>
      </c>
    </row>
    <row r="30">
      <c r="A30" s="54" t="inlineStr">
        <is>
          <t>(Departament HR)</t>
        </is>
      </c>
      <c r="D30" s="54" t="inlineStr">
        <is>
          <t>(Angajat)</t>
        </is>
      </c>
    </row>
  </sheetData>
  <mergeCells count="8">
    <mergeCell ref="A5:F5"/>
    <mergeCell ref="A12:C12"/>
    <mergeCell ref="A23:F23"/>
    <mergeCell ref="D12:F12"/>
    <mergeCell ref="A4:F4"/>
    <mergeCell ref="A3:F3"/>
    <mergeCell ref="A21:F21"/>
    <mergeCell ref="A7:F7"/>
  </mergeCells>
  <pageMargins left="0.5" right="0.5" top="0.5" bottom="0.5" header="0.5" footer="0.5"/>
  <pageSetup orientation="portrait" paperSize="9"/>
</worksheet>
</file>

<file path=xl/worksheets/sheet11.xml><?xml version="1.0" encoding="utf-8"?>
<worksheet xmlns="http://schemas.openxmlformats.org/spreadsheetml/2006/main">
  <sheetPr>
    <tabColor rgb="009C27B0"/>
    <outlinePr summaryBelow="1" summaryRight="1"/>
    <pageSetUpPr/>
  </sheetPr>
  <dimension ref="A1:N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0" customWidth="1" min="3" max="3"/>
    <col width="18" customWidth="1" min="4" max="4"/>
    <col width="14" customWidth="1" min="5" max="5"/>
    <col width="18" customWidth="1" min="6" max="6"/>
    <col width="30" customWidth="1" min="7" max="7"/>
    <col width="30" customWidth="1" min="8" max="8"/>
    <col width="16" customWidth="1" min="9" max="9"/>
    <col width="18" customWidth="1" min="10" max="10"/>
    <col width="18" customWidth="1" min="11" max="11"/>
    <col width="12" customWidth="1" min="12" max="12"/>
    <col width="25" customWidth="1" min="13" max="13"/>
    <col width="16" customWidth="1" min="14" max="14"/>
  </cols>
  <sheetData>
    <row r="1">
      <c r="A1" s="22" t="inlineStr">
        <is>
          <t>EVALUĂRI PERFORMANȚĂ</t>
        </is>
      </c>
    </row>
    <row r="2">
      <c r="A2" s="23" t="inlineStr">
        <is>
          <t>ID</t>
        </is>
      </c>
      <c r="B2" s="23" t="inlineStr">
        <is>
          <t>ID Angajat</t>
        </is>
      </c>
      <c r="C2" s="23" t="inlineStr">
        <is>
          <t>Nume Angajat</t>
        </is>
      </c>
      <c r="D2" s="23" t="inlineStr">
        <is>
          <t>Perioada Evaluată</t>
        </is>
      </c>
      <c r="E2" s="23" t="inlineStr">
        <is>
          <t>Data Evaluării</t>
        </is>
      </c>
      <c r="F2" s="23" t="inlineStr">
        <is>
          <t>Evaluator</t>
        </is>
      </c>
      <c r="G2" s="23" t="inlineStr">
        <is>
          <t>Obiective</t>
        </is>
      </c>
      <c r="H2" s="23" t="inlineStr">
        <is>
          <t>Realizări</t>
        </is>
      </c>
      <c r="I2" s="23" t="inlineStr">
        <is>
          <t>Scor Obiective (1-5)</t>
        </is>
      </c>
      <c r="J2" s="23" t="inlineStr">
        <is>
          <t>Competențe Tehnice (1-5)</t>
        </is>
      </c>
      <c r="K2" s="23" t="inlineStr">
        <is>
          <t>Competențe Soft (1-5)</t>
        </is>
      </c>
      <c r="L2" s="23" t="inlineStr">
        <is>
          <t>Scor Final</t>
        </is>
      </c>
      <c r="M2" s="23" t="inlineStr">
        <is>
          <t>Plan Dezvoltare</t>
        </is>
      </c>
      <c r="N2" s="23" t="inlineStr">
        <is>
          <t>Următoarea Evaluare</t>
        </is>
      </c>
    </row>
    <row r="3">
      <c r="A3" s="24" t="inlineStr">
        <is>
          <t>E001</t>
        </is>
      </c>
      <c r="B3" s="24" t="inlineStr">
        <is>
          <t>A002</t>
        </is>
      </c>
      <c r="C3" s="24">
        <f>IFERROR(VLOOKUP(B3,'Angajați'!$A:$C,2,0)&amp;" "&amp;VLOOKUP(B3,'Angajați'!$A:$C,3,0),"N/A")</f>
        <v/>
      </c>
      <c r="D3" s="24" t="inlineStr">
        <is>
          <t>S1 2025</t>
        </is>
      </c>
      <c r="E3" s="25" t="n">
        <v>45838</v>
      </c>
      <c r="F3" s="24" t="inlineStr">
        <is>
          <t>Popescu Ion</t>
        </is>
      </c>
      <c r="G3" s="24" t="inlineStr">
        <is>
          <t>Livrare proiect X, Mentorat 2 juniori</t>
        </is>
      </c>
      <c r="H3" s="24" t="inlineStr">
        <is>
          <t>Proiect livrat la termen, 1 junior mentorat</t>
        </is>
      </c>
      <c r="I3" s="24" t="n">
        <v>4</v>
      </c>
      <c r="J3" s="24" t="n">
        <v>5</v>
      </c>
      <c r="K3" s="24" t="n">
        <v>4</v>
      </c>
      <c r="L3" s="24">
        <f>IF(AND(I3&lt;&gt;"",J3&lt;&gt;"",K3&lt;&gt;""),ROUND((I3+J3+K3)/3,1),"")</f>
        <v/>
      </c>
      <c r="M3" s="24" t="inlineStr">
        <is>
          <t>Certificare cloud, leadership training</t>
        </is>
      </c>
      <c r="N3" s="25" t="n">
        <v>46022</v>
      </c>
    </row>
    <row r="4">
      <c r="A4" s="26" t="inlineStr">
        <is>
          <t>E002</t>
        </is>
      </c>
      <c r="B4" s="26" t="inlineStr">
        <is>
          <t>A003</t>
        </is>
      </c>
      <c r="C4" s="26">
        <f>IFERROR(VLOOKUP(B4,'Angajați'!$A:$C,2,0)&amp;" "&amp;VLOOKUP(B4,'Angajați'!$A:$C,3,0),"N/A")</f>
        <v/>
      </c>
      <c r="D4" s="26" t="inlineStr">
        <is>
          <t>S1 2025</t>
        </is>
      </c>
      <c r="E4" s="27" t="n">
        <v>45838</v>
      </c>
      <c r="F4" s="26" t="inlineStr">
        <is>
          <t>Popescu Ion</t>
        </is>
      </c>
      <c r="G4" s="26" t="inlineStr">
        <is>
          <t>Implementare sistem evaluare, Reducere turnover 5%</t>
        </is>
      </c>
      <c r="H4" s="26" t="inlineStr">
        <is>
          <t>Sistem implementat parțial</t>
        </is>
      </c>
      <c r="I4" s="26" t="n">
        <v>3</v>
      </c>
      <c r="J4" s="26" t="n">
        <v>3</v>
      </c>
      <c r="K4" s="26" t="n">
        <v>4</v>
      </c>
      <c r="L4" s="26">
        <f>IF(AND(I4&lt;&gt;"",J4&lt;&gt;"",K4&lt;&gt;""),ROUND((I4+J4+K4)/3,1),"")</f>
        <v/>
      </c>
      <c r="M4" s="26" t="inlineStr">
        <is>
          <t>Curs management HR avansat</t>
        </is>
      </c>
      <c r="N4" s="27" t="n">
        <v>46022</v>
      </c>
    </row>
    <row r="5">
      <c r="A5" s="24" t="inlineStr">
        <is>
          <t>E003</t>
        </is>
      </c>
      <c r="B5" s="24" t="inlineStr">
        <is>
          <t>A005</t>
        </is>
      </c>
      <c r="C5" s="24">
        <f>IFERROR(VLOOKUP(B5,'Angajați'!$A:$C,2,0)&amp;" "&amp;VLOOKUP(B5,'Angajați'!$A:$C,3,0),"N/A")</f>
        <v/>
      </c>
      <c r="D5" s="24" t="inlineStr">
        <is>
          <t>S1 2025</t>
        </is>
      </c>
      <c r="E5" s="25" t="n">
        <v>45838</v>
      </c>
      <c r="F5" s="24" t="inlineStr">
        <is>
          <t>Popescu Ion</t>
        </is>
      </c>
      <c r="G5" s="24" t="inlineStr">
        <is>
          <t>Creștere vânzări 15%, Noi clienți</t>
        </is>
      </c>
      <c r="H5" s="24" t="inlineStr">
        <is>
          <t>Creștere 20% vânzări, 5 clienți noi</t>
        </is>
      </c>
      <c r="I5" s="24" t="n">
        <v>5</v>
      </c>
      <c r="J5" s="24" t="n">
        <v>4</v>
      </c>
      <c r="K5" s="24" t="n">
        <v>4</v>
      </c>
      <c r="L5" s="24">
        <f>IF(AND(I5&lt;&gt;"",J5&lt;&gt;"",K5&lt;&gt;""),ROUND((I5+J5+K5)/3,1),"")</f>
        <v/>
      </c>
      <c r="M5" s="24" t="inlineStr">
        <is>
          <t>Curs negociere avansată</t>
        </is>
      </c>
      <c r="N5" s="25" t="n">
        <v>46022</v>
      </c>
    </row>
  </sheetData>
  <autoFilter ref="A2:N2"/>
  <mergeCells count="1">
    <mergeCell ref="A1:N1"/>
  </mergeCells>
  <conditionalFormatting sqref="I3:I1000">
    <cfRule type="cellIs" priority="1" operator="equal" dxfId="15">
      <formula>1</formula>
    </cfRule>
    <cfRule type="cellIs" priority="2" operator="equal" dxfId="16">
      <formula>2</formula>
    </cfRule>
    <cfRule type="cellIs" priority="3" operator="equal" dxfId="17">
      <formula>3</formula>
    </cfRule>
    <cfRule type="cellIs" priority="4" operator="equal" dxfId="18">
      <formula>4</formula>
    </cfRule>
    <cfRule type="cellIs" priority="5" operator="equal" dxfId="19">
      <formula>5</formula>
    </cfRule>
  </conditionalFormatting>
  <conditionalFormatting sqref="J3:J1000">
    <cfRule type="cellIs" priority="6" operator="equal" dxfId="15">
      <formula>1</formula>
    </cfRule>
    <cfRule type="cellIs" priority="7" operator="equal" dxfId="16">
      <formula>2</formula>
    </cfRule>
    <cfRule type="cellIs" priority="8" operator="equal" dxfId="17">
      <formula>3</formula>
    </cfRule>
    <cfRule type="cellIs" priority="9" operator="equal" dxfId="18">
      <formula>4</formula>
    </cfRule>
    <cfRule type="cellIs" priority="10" operator="equal" dxfId="19">
      <formula>5</formula>
    </cfRule>
  </conditionalFormatting>
  <conditionalFormatting sqref="K3:K1000">
    <cfRule type="cellIs" priority="11" operator="equal" dxfId="15">
      <formula>1</formula>
    </cfRule>
    <cfRule type="cellIs" priority="12" operator="equal" dxfId="16">
      <formula>2</formula>
    </cfRule>
    <cfRule type="cellIs" priority="13" operator="equal" dxfId="17">
      <formula>3</formula>
    </cfRule>
    <cfRule type="cellIs" priority="14" operator="equal" dxfId="18">
      <formula>4</formula>
    </cfRule>
    <cfRule type="cellIs" priority="15" operator="equal" dxfId="19">
      <formula>5</formula>
    </cfRule>
  </conditionalFormatting>
  <conditionalFormatting sqref="L3:L1000">
    <cfRule type="cellIs" priority="16" operator="equal" dxfId="15">
      <formula>1</formula>
    </cfRule>
    <cfRule type="cellIs" priority="17" operator="equal" dxfId="16">
      <formula>2</formula>
    </cfRule>
    <cfRule type="cellIs" priority="18" operator="equal" dxfId="17">
      <formula>3</formula>
    </cfRule>
    <cfRule type="cellIs" priority="19" operator="equal" dxfId="18">
      <formula>4</formula>
    </cfRule>
    <cfRule type="cellIs" priority="20" operator="equal" dxfId="19">
      <formula>5</formula>
    </cfRule>
  </conditionalFormatting>
  <conditionalFormatting sqref="N3:N1000">
    <cfRule type="expression" priority="21" dxfId="3">
      <formula>AND(N3&lt;&gt;"",N3&lt;TODAY())</formula>
    </cfRule>
    <cfRule type="expression" priority="22" dxfId="4">
      <formula>AND(N3&lt;&gt;"",N3&gt;=TODAY(),N3&lt;=TODAY()+30)</formula>
    </cfRule>
  </conditionalFormatting>
  <dataValidations count="3">
    <dataValidation sqref="I3:I1000" showDropDown="0" showInputMessage="0" showErrorMessage="1" allowBlank="0" errorTitle="Eroare Validare" error="Introduceți un număr între 1 și 5." type="whole" operator="between">
      <formula1>1</formula1>
      <formula2>5</formula2>
    </dataValidation>
    <dataValidation sqref="J3:J1000" showDropDown="0" showInputMessage="0" showErrorMessage="1" allowBlank="0" errorTitle="Eroare Validare" error="Introduceți un număr între 1 și 5." type="whole" operator="between">
      <formula1>1</formula1>
      <formula2>5</formula2>
    </dataValidation>
    <dataValidation sqref="K3:K1000" showDropDown="0" showInputMessage="0" showErrorMessage="1" allowBlank="0" errorTitle="Eroare Validare" error="Introduceți un număr între 1 și 5." type="whole" operator="between">
      <formula1>1</formula1>
      <formula2>5</formula2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FF9800"/>
    <outlinePr summaryBelow="1" summaryRight="1"/>
    <pageSetUpPr/>
  </sheetPr>
  <dimension ref="A1:M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20" customWidth="1" min="3" max="3"/>
    <col width="14" customWidth="1" min="4" max="4"/>
    <col width="14" customWidth="1" min="5" max="5"/>
    <col width="14" customWidth="1" min="6" max="6"/>
    <col width="8" customWidth="1" min="7" max="7"/>
    <col width="14" customWidth="1" min="8" max="8"/>
    <col width="12" customWidth="1" min="9" max="9"/>
    <col width="20" customWidth="1" min="10" max="10"/>
    <col width="14" customWidth="1" min="11" max="11"/>
    <col width="20" customWidth="1" min="12" max="12"/>
    <col width="18" customWidth="1" min="13" max="13"/>
  </cols>
  <sheetData>
    <row r="1">
      <c r="A1" s="22" t="inlineStr">
        <is>
          <t>TRAINING &amp; FORMĂRI PROFESIONALE</t>
        </is>
      </c>
    </row>
    <row r="2">
      <c r="A2" s="23" t="inlineStr">
        <is>
          <t>ID</t>
        </is>
      </c>
      <c r="B2" s="23" t="inlineStr">
        <is>
          <t>Denumire Curs</t>
        </is>
      </c>
      <c r="C2" s="23" t="inlineStr">
        <is>
          <t>Furnizor</t>
        </is>
      </c>
      <c r="D2" s="23" t="inlineStr">
        <is>
          <t>Tip</t>
        </is>
      </c>
      <c r="E2" s="23" t="inlineStr">
        <is>
          <t>Data Început</t>
        </is>
      </c>
      <c r="F2" s="23" t="inlineStr">
        <is>
          <t>Data Sfârșit</t>
        </is>
      </c>
      <c r="G2" s="23" t="inlineStr">
        <is>
          <t>Ore</t>
        </is>
      </c>
      <c r="H2" s="23" t="inlineStr">
        <is>
          <t>Cost (RON)</t>
        </is>
      </c>
      <c r="I2" s="23" t="inlineStr">
        <is>
          <t>ID Angajat</t>
        </is>
      </c>
      <c r="J2" s="23" t="inlineStr">
        <is>
          <t>Nume Angajat</t>
        </is>
      </c>
      <c r="K2" s="23" t="inlineStr">
        <is>
          <t>Status</t>
        </is>
      </c>
      <c r="L2" s="23" t="inlineStr">
        <is>
          <t>Certificare</t>
        </is>
      </c>
      <c r="M2" s="23" t="inlineStr">
        <is>
          <t>Data Expirare Certificare</t>
        </is>
      </c>
    </row>
    <row r="3">
      <c r="A3" s="24" t="inlineStr">
        <is>
          <t>T001</t>
        </is>
      </c>
      <c r="B3" s="24" t="inlineStr">
        <is>
          <t>Management Avansat</t>
        </is>
      </c>
      <c r="C3" s="24" t="inlineStr">
        <is>
          <t>Schultz Consulting</t>
        </is>
      </c>
      <c r="D3" s="24" t="inlineStr">
        <is>
          <t>Extern</t>
        </is>
      </c>
      <c r="E3" s="25" t="n">
        <v>45757</v>
      </c>
      <c r="F3" s="25" t="n">
        <v>45759</v>
      </c>
      <c r="G3" s="24" t="n">
        <v>24</v>
      </c>
      <c r="H3" s="28" t="n">
        <v>3500</v>
      </c>
      <c r="I3" s="24" t="inlineStr">
        <is>
          <t>A001</t>
        </is>
      </c>
      <c r="J3" s="24">
        <f>IFERROR(VLOOKUP(I3,'Angajați'!$A:$C,2,0)&amp;" "&amp;VLOOKUP(I3,'Angajați'!$A:$C,3,0),"N/A")</f>
        <v/>
      </c>
      <c r="K3" s="24" t="inlineStr">
        <is>
          <t>Planificat</t>
        </is>
      </c>
      <c r="L3" s="24" t="inlineStr">
        <is>
          <t>Da - Certificat Management</t>
        </is>
      </c>
      <c r="M3" s="25" t="n">
        <v>46489</v>
      </c>
    </row>
    <row r="4">
      <c r="A4" s="26" t="inlineStr">
        <is>
          <t>T002</t>
        </is>
      </c>
      <c r="B4" s="26" t="inlineStr">
        <is>
          <t>Python pentru Analiză Date</t>
        </is>
      </c>
      <c r="C4" s="26" t="inlineStr">
        <is>
          <t>IT Academy</t>
        </is>
      </c>
      <c r="D4" s="26" t="inlineStr">
        <is>
          <t>Online</t>
        </is>
      </c>
      <c r="E4" s="27" t="n">
        <v>45717</v>
      </c>
      <c r="F4" s="27" t="n">
        <v>45731</v>
      </c>
      <c r="G4" s="26" t="n">
        <v>40</v>
      </c>
      <c r="H4" s="29" t="n">
        <v>1200</v>
      </c>
      <c r="I4" s="26" t="inlineStr">
        <is>
          <t>A002</t>
        </is>
      </c>
      <c r="J4" s="26">
        <f>IFERROR(VLOOKUP(I4,'Angajați'!$A:$C,2,0)&amp;" "&amp;VLOOKUP(I4,'Angajați'!$A:$C,3,0),"N/A")</f>
        <v/>
      </c>
      <c r="K4" s="26" t="inlineStr">
        <is>
          <t>În Curs</t>
        </is>
      </c>
      <c r="L4" s="26" t="inlineStr">
        <is>
          <t>Da - Python Data Analysis</t>
        </is>
      </c>
      <c r="M4" s="27" t="n">
        <v>46461</v>
      </c>
    </row>
    <row r="5">
      <c r="A5" s="24" t="inlineStr">
        <is>
          <t>T003</t>
        </is>
      </c>
      <c r="B5" s="24" t="inlineStr">
        <is>
          <t>Legislație Muncii 2025</t>
        </is>
      </c>
      <c r="C5" s="24" t="inlineStr">
        <is>
          <t>HR Club</t>
        </is>
      </c>
      <c r="D5" s="24" t="inlineStr">
        <is>
          <t>Conferință</t>
        </is>
      </c>
      <c r="E5" s="25" t="n">
        <v>45797</v>
      </c>
      <c r="F5" s="25" t="n">
        <v>45797</v>
      </c>
      <c r="G5" s="24" t="n">
        <v>8</v>
      </c>
      <c r="H5" s="28" t="n">
        <v>500</v>
      </c>
      <c r="I5" s="24" t="inlineStr">
        <is>
          <t>A003</t>
        </is>
      </c>
      <c r="J5" s="24">
        <f>IFERROR(VLOOKUP(I5,'Angajați'!$A:$C,2,0)&amp;" "&amp;VLOOKUP(I5,'Angajați'!$A:$C,3,0),"N/A")</f>
        <v/>
      </c>
      <c r="K5" s="24" t="inlineStr">
        <is>
          <t>Planificat</t>
        </is>
      </c>
      <c r="L5" s="24" t="inlineStr">
        <is>
          <t>Nu</t>
        </is>
      </c>
      <c r="M5" s="24" t="n"/>
    </row>
    <row r="6">
      <c r="A6" s="26" t="inlineStr">
        <is>
          <t>T004</t>
        </is>
      </c>
      <c r="B6" s="26" t="inlineStr">
        <is>
          <t>Excel Avansat &amp; VBA</t>
        </is>
      </c>
      <c r="C6" s="26" t="inlineStr">
        <is>
          <t>Intern</t>
        </is>
      </c>
      <c r="D6" s="26" t="inlineStr">
        <is>
          <t>Intern</t>
        </is>
      </c>
      <c r="E6" s="27" t="n">
        <v>45703</v>
      </c>
      <c r="F6" s="27" t="n">
        <v>45716</v>
      </c>
      <c r="G6" s="26" t="n">
        <v>16</v>
      </c>
      <c r="H6" s="29" t="n">
        <v>0</v>
      </c>
      <c r="I6" s="26" t="inlineStr">
        <is>
          <t>A004</t>
        </is>
      </c>
      <c r="J6" s="26">
        <f>IFERROR(VLOOKUP(I6,'Angajați'!$A:$C,2,0)&amp;" "&amp;VLOOKUP(I6,'Angajați'!$A:$C,3,0),"N/A")</f>
        <v/>
      </c>
      <c r="K6" s="26" t="inlineStr">
        <is>
          <t>Finalizat</t>
        </is>
      </c>
      <c r="L6" s="26" t="inlineStr">
        <is>
          <t>Da - Excel Advanced</t>
        </is>
      </c>
      <c r="M6" s="27" t="n">
        <v>46446</v>
      </c>
    </row>
  </sheetData>
  <autoFilter ref="A2:M2"/>
  <mergeCells count="1">
    <mergeCell ref="A1:M1"/>
  </mergeCells>
  <conditionalFormatting sqref="K3:K1000">
    <cfRule type="cellIs" priority="1" operator="equal" dxfId="14">
      <formula>"Planificat"</formula>
    </cfRule>
    <cfRule type="cellIs" priority="2" operator="equal" dxfId="2">
      <formula>"În Curs"</formula>
    </cfRule>
    <cfRule type="cellIs" priority="3" operator="equal" dxfId="0">
      <formula>"Finalizat"</formula>
    </cfRule>
    <cfRule type="cellIs" priority="4" operator="equal" dxfId="1">
      <formula>"Anulat"</formula>
    </cfRule>
  </conditionalFormatting>
  <conditionalFormatting sqref="M3:M1000">
    <cfRule type="expression" priority="5" dxfId="3">
      <formula>AND(M3&lt;&gt;"",M3&lt;TODAY())</formula>
    </cfRule>
    <cfRule type="expression" priority="6" dxfId="4">
      <formula>AND(M3&lt;&gt;"",M3&gt;=TODAY(),M3&lt;=TODAY()+90)</formula>
    </cfRule>
  </conditionalFormatting>
  <dataValidations count="2">
    <dataValidation sqref="D3:D1000" showDropDown="0" showInputMessage="1" showErrorMessage="1" allowBlank="1" errorTitle="Eroare Validare" error="Valoare invalidă! Selectați din lista disponibilă." promptTitle="Selectare" prompt="Selectați o opțiune din listă" type="list">
      <formula1>"Intern,Extern,Online,Conferință,Workshop"</formula1>
    </dataValidation>
    <dataValidation sqref="K3:K1000" showDropDown="0" showInputMessage="1" showErrorMessage="1" allowBlank="1" errorTitle="Eroare Validare" error="Valoare invalidă! Selectați din lista disponibilă." promptTitle="Selectare" prompt="Selectați o opțiune din listă" type="list">
      <formula1>"Planificat,În Curs,Finalizat,Anulat"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00BCD4"/>
    <outlinePr summaryBelow="1" summaryRight="1"/>
    <pageSetUpPr/>
  </sheetPr>
  <dimension ref="A1:O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8" customWidth="1" min="3" max="3"/>
    <col width="14" customWidth="1" min="4" max="4"/>
    <col width="20" customWidth="1" min="5" max="5"/>
    <col width="25" customWidth="1" min="6" max="6"/>
    <col width="14" customWidth="1" min="7" max="7"/>
    <col width="14" customWidth="1" min="8" max="8"/>
    <col width="14" customWidth="1" min="9" max="9"/>
    <col width="16" customWidth="1" min="10" max="10"/>
    <col width="14" customWidth="1" min="11" max="11"/>
    <col width="18" customWidth="1" min="12" max="12"/>
    <col width="10" customWidth="1" min="13" max="13"/>
    <col width="18" customWidth="1" min="14" max="14"/>
    <col width="25" customWidth="1" min="15" max="15"/>
  </cols>
  <sheetData>
    <row r="1">
      <c r="A1" s="22" t="inlineStr">
        <is>
          <t>MANAGEMENT RECRUTARE</t>
        </is>
      </c>
    </row>
    <row r="2">
      <c r="A2" s="23" t="inlineStr">
        <is>
          <t>ID</t>
        </is>
      </c>
      <c r="B2" s="23" t="inlineStr">
        <is>
          <t>Post</t>
        </is>
      </c>
      <c r="C2" s="23" t="inlineStr">
        <is>
          <t>Departament</t>
        </is>
      </c>
      <c r="D2" s="23" t="inlineStr">
        <is>
          <t>Data Deschidere</t>
        </is>
      </c>
      <c r="E2" s="23" t="inlineStr">
        <is>
          <t>Nume Candidat</t>
        </is>
      </c>
      <c r="F2" s="23" t="inlineStr">
        <is>
          <t>Email</t>
        </is>
      </c>
      <c r="G2" s="23" t="inlineStr">
        <is>
          <t>Telefon</t>
        </is>
      </c>
      <c r="H2" s="23" t="inlineStr">
        <is>
          <t>Sursă</t>
        </is>
      </c>
      <c r="I2" s="23" t="inlineStr">
        <is>
          <t>Data Aplicării</t>
        </is>
      </c>
      <c r="J2" s="23" t="inlineStr">
        <is>
          <t>Status</t>
        </is>
      </c>
      <c r="K2" s="23" t="inlineStr">
        <is>
          <t>Data Interviu</t>
        </is>
      </c>
      <c r="L2" s="23" t="inlineStr">
        <is>
          <t>Interviewer</t>
        </is>
      </c>
      <c r="M2" s="23" t="inlineStr">
        <is>
          <t>Scor (1-10)</t>
        </is>
      </c>
      <c r="N2" s="23" t="inlineStr">
        <is>
          <t>Ofertă Salarială (RON)</t>
        </is>
      </c>
      <c r="O2" s="23" t="inlineStr">
        <is>
          <t>Observații</t>
        </is>
      </c>
    </row>
    <row r="3">
      <c r="A3" s="24" t="inlineStr">
        <is>
          <t>R001</t>
        </is>
      </c>
      <c r="B3" s="24" t="inlineStr">
        <is>
          <t>Developer Software Mid</t>
        </is>
      </c>
      <c r="C3" s="24" t="inlineStr">
        <is>
          <t>IT &amp; Dezvoltare</t>
        </is>
      </c>
      <c r="D3" s="25" t="n">
        <v>45689</v>
      </c>
      <c r="E3" s="24" t="inlineStr">
        <is>
          <t>Popa Alexandru</t>
        </is>
      </c>
      <c r="F3" s="24" t="inlineStr">
        <is>
          <t>alex.popa@email.com</t>
        </is>
      </c>
      <c r="G3" s="24" t="inlineStr">
        <is>
          <t>0731000010</t>
        </is>
      </c>
      <c r="H3" s="24" t="inlineStr">
        <is>
          <t>LinkedIn</t>
        </is>
      </c>
      <c r="I3" s="25" t="n">
        <v>45693</v>
      </c>
      <c r="J3" s="24" t="inlineStr">
        <is>
          <t>Interviu Tehnic</t>
        </is>
      </c>
      <c r="K3" s="25" t="n">
        <v>45726</v>
      </c>
      <c r="L3" s="24" t="inlineStr">
        <is>
          <t>Ionescu Maria</t>
        </is>
      </c>
      <c r="M3" s="24" t="n">
        <v>8</v>
      </c>
      <c r="N3" s="28" t="n">
        <v>9000</v>
      </c>
      <c r="O3" s="24" t="inlineStr">
        <is>
          <t>Experiență 3 ani Java/Python</t>
        </is>
      </c>
    </row>
    <row r="4">
      <c r="A4" s="26" t="inlineStr">
        <is>
          <t>R002</t>
        </is>
      </c>
      <c r="B4" s="26" t="inlineStr">
        <is>
          <t>Developer Software Mid</t>
        </is>
      </c>
      <c r="C4" s="26" t="inlineStr">
        <is>
          <t>IT &amp; Dezvoltare</t>
        </is>
      </c>
      <c r="D4" s="27" t="n">
        <v>45689</v>
      </c>
      <c r="E4" s="26" t="inlineStr">
        <is>
          <t>Stan Mihaela</t>
        </is>
      </c>
      <c r="F4" s="26" t="inlineStr">
        <is>
          <t>mihaela.stan@email.com</t>
        </is>
      </c>
      <c r="G4" s="26" t="inlineStr">
        <is>
          <t>0731000011</t>
        </is>
      </c>
      <c r="H4" s="26" t="inlineStr">
        <is>
          <t>eJobs</t>
        </is>
      </c>
      <c r="I4" s="27" t="n">
        <v>45696</v>
      </c>
      <c r="J4" s="26" t="inlineStr">
        <is>
          <t>Screening CV</t>
        </is>
      </c>
      <c r="K4" s="26" t="n"/>
      <c r="L4" s="26" t="inlineStr"/>
      <c r="M4" s="26" t="n"/>
      <c r="N4" s="26" t="n"/>
      <c r="O4" s="26" t="inlineStr">
        <is>
          <t>CV promițător, de programat interviu</t>
        </is>
      </c>
    </row>
    <row r="5">
      <c r="A5" s="24" t="inlineStr">
        <is>
          <t>R003</t>
        </is>
      </c>
      <c r="B5" s="24" t="inlineStr">
        <is>
          <t>Specialist Marketing</t>
        </is>
      </c>
      <c r="C5" s="24" t="inlineStr">
        <is>
          <t>Marketing</t>
        </is>
      </c>
      <c r="D5" s="25" t="n">
        <v>45717</v>
      </c>
      <c r="E5" s="24" t="inlineStr">
        <is>
          <t>Radu Cristina</t>
        </is>
      </c>
      <c r="F5" s="24" t="inlineStr">
        <is>
          <t>cristina.radu@email.com</t>
        </is>
      </c>
      <c r="G5" s="24" t="inlineStr">
        <is>
          <t>0731000012</t>
        </is>
      </c>
      <c r="H5" s="24" t="inlineStr">
        <is>
          <t>Referral</t>
        </is>
      </c>
      <c r="I5" s="25" t="n">
        <v>45721</v>
      </c>
      <c r="J5" s="24" t="inlineStr">
        <is>
          <t>Ofertă</t>
        </is>
      </c>
      <c r="K5" s="25" t="n">
        <v>45731</v>
      </c>
      <c r="L5" s="24" t="inlineStr">
        <is>
          <t>Constantinescu Dan</t>
        </is>
      </c>
      <c r="M5" s="24" t="n">
        <v>9</v>
      </c>
      <c r="N5" s="28" t="n">
        <v>7000</v>
      </c>
      <c r="O5" s="24" t="inlineStr">
        <is>
          <t>Referral de la echipa curentă</t>
        </is>
      </c>
    </row>
    <row r="6">
      <c r="A6" s="26" t="inlineStr">
        <is>
          <t>R004</t>
        </is>
      </c>
      <c r="B6" s="26" t="inlineStr">
        <is>
          <t>Operator Logistică</t>
        </is>
      </c>
      <c r="C6" s="26" t="inlineStr">
        <is>
          <t>Logistică</t>
        </is>
      </c>
      <c r="D6" s="27" t="n">
        <v>45717</v>
      </c>
      <c r="E6" s="26" t="inlineStr">
        <is>
          <t>Nistor Bogdan</t>
        </is>
      </c>
      <c r="F6" s="26" t="inlineStr">
        <is>
          <t>bogdan.nistor@email.com</t>
        </is>
      </c>
      <c r="G6" s="26" t="inlineStr">
        <is>
          <t>0731000013</t>
        </is>
      </c>
      <c r="H6" s="26" t="inlineStr">
        <is>
          <t>BestJobs</t>
        </is>
      </c>
      <c r="I6" s="27" t="n">
        <v>45719</v>
      </c>
      <c r="J6" s="26" t="inlineStr">
        <is>
          <t>Respins</t>
        </is>
      </c>
      <c r="K6" s="27" t="n">
        <v>45724</v>
      </c>
      <c r="L6" s="26" t="inlineStr">
        <is>
          <t>Vasilescu Mihai</t>
        </is>
      </c>
      <c r="M6" s="26" t="n">
        <v>3</v>
      </c>
      <c r="N6" s="26" t="n"/>
      <c r="O6" s="26" t="inlineStr">
        <is>
          <t>Nu corespunde cerințelor</t>
        </is>
      </c>
    </row>
  </sheetData>
  <autoFilter ref="A2:O2"/>
  <mergeCells count="1">
    <mergeCell ref="A1:O1"/>
  </mergeCells>
  <conditionalFormatting sqref="J3:J1000">
    <cfRule type="cellIs" priority="1" operator="equal" dxfId="0">
      <formula>"Angajat"</formula>
    </cfRule>
    <cfRule type="cellIs" priority="2" operator="equal" dxfId="1">
      <formula>"Respins"</formula>
    </cfRule>
    <cfRule type="cellIs" priority="3" operator="equal" dxfId="1">
      <formula>"Retras"</formula>
    </cfRule>
    <cfRule type="cellIs" priority="4" operator="equal" dxfId="14">
      <formula>"Ofertă"</formula>
    </cfRule>
    <cfRule type="cellIs" priority="5" operator="equal" dxfId="2">
      <formula>"Interviu Tehnic"</formula>
    </cfRule>
    <cfRule type="cellIs" priority="6" operator="equal" dxfId="2">
      <formula>"Interviu Final"</formula>
    </cfRule>
    <cfRule type="cellIs" priority="7" operator="equal" dxfId="5">
      <formula>"Screening CV"</formula>
    </cfRule>
    <cfRule type="cellIs" priority="8" operator="equal" dxfId="20">
      <formula>"Nou"</formula>
    </cfRule>
  </conditionalFormatting>
  <dataValidations count="4">
    <dataValidation sqref="C3:C1000" showDropDown="0" showInputMessage="1" showErrorMessage="1" allowBlank="1" errorTitle="Eroare Validare" error="Valoare invalidă! Selectați din lista disponibilă." promptTitle="Selectare" prompt="Selectați o opțiune din listă" type="list">
      <formula1>=Departamente!$B$3:$B$50</formula1>
    </dataValidation>
    <dataValidation sqref="H3:H1000" showDropDown="0" showInputMessage="1" showErrorMessage="1" allowBlank="1" errorTitle="Eroare Validare" error="Valoare invalidă! Selectați din lista disponibilă." promptTitle="Selectare" prompt="Selectați o opțiune din listă" type="list">
      <formula1>"LinkedIn,Site Companie,Referral,Agenție,eJobs,BestJobs,Hipo,Altele"</formula1>
    </dataValidation>
    <dataValidation sqref="J3:J1000" showDropDown="0" showInputMessage="1" showErrorMessage="1" allowBlank="1" errorTitle="Eroare Validare" error="Valoare invalidă! Selectați din lista disponibilă." promptTitle="Selectare" prompt="Selectați o opțiune din listă" type="list">
      <formula1>"Nou,Screening CV,Interviu Telefonic,Interviu Tehnic,Interviu Final,Ofertă,Angajat,Respins,Retras"</formula1>
    </dataValidation>
    <dataValidation sqref="M3:M1000" showDropDown="0" showInputMessage="0" showErrorMessage="1" allowBlank="0" errorTitle="Eroare Validare" error="Introduceți un număr între 1 și 10." type="whole" operator="between">
      <formula1>1</formula1>
      <formula2>10</formula2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3F51B5"/>
    <outlinePr summaryBelow="1" summaryRight="1"/>
    <pageSetUpPr/>
  </sheetPr>
  <dimension ref="A1:M5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4" customWidth="1" min="3" max="3"/>
    <col width="20" customWidth="1" min="4" max="4"/>
    <col width="16" customWidth="1" min="5" max="5"/>
    <col width="22" customWidth="1" min="6" max="6"/>
    <col width="14" customWidth="1" min="7" max="7"/>
    <col width="50" customWidth="1" min="9" max="9"/>
    <col width="20" customWidth="1" min="10" max="10"/>
    <col width="20" customWidth="1" min="11" max="11"/>
  </cols>
  <sheetData>
    <row r="1">
      <c r="A1" s="22" t="inlineStr">
        <is>
          <t>ORGANIGRAMĂ COMPANIE</t>
        </is>
      </c>
      <c r="I1" s="22" t="inlineStr">
        <is>
          <t>VIZUALIZARE ORGANIGRAMĂ (TEXT)</t>
        </is>
      </c>
    </row>
    <row r="2">
      <c r="A2" s="23" t="inlineStr">
        <is>
          <t>ID Angajat</t>
        </is>
      </c>
      <c r="B2" s="23" t="inlineStr">
        <is>
          <t>Nume Prenume</t>
        </is>
      </c>
      <c r="C2" s="23" t="inlineStr">
        <is>
          <t>Funcție</t>
        </is>
      </c>
      <c r="D2" s="23" t="inlineStr">
        <is>
          <t>Departament</t>
        </is>
      </c>
      <c r="E2" s="23" t="inlineStr">
        <is>
          <t>Manager Direct (ID)</t>
        </is>
      </c>
      <c r="F2" s="23" t="inlineStr">
        <is>
          <t>Manager Direct (Nume)</t>
        </is>
      </c>
      <c r="G2" s="23" t="inlineStr">
        <is>
          <t>Nivel Ierarhic</t>
        </is>
      </c>
      <c r="I2" s="23" t="inlineStr">
        <is>
          <t>Ierarhie</t>
        </is>
      </c>
      <c r="J2" s="23" t="inlineStr">
        <is>
          <t>Funcție</t>
        </is>
      </c>
      <c r="K2" s="23" t="inlineStr">
        <is>
          <t>Departament</t>
        </is>
      </c>
    </row>
    <row r="3">
      <c r="A3" s="30">
        <f>IF('Angajați'!A3&lt;&gt;"",'Angajați'!A3,"")</f>
        <v/>
      </c>
      <c r="B3" s="30">
        <f>IF(A3&lt;&gt;"",'Angajați'!B3&amp;" "&amp;'Angajați'!C3,"")</f>
        <v/>
      </c>
      <c r="C3" s="30">
        <f>IF(A3&lt;&gt;"",'Angajați'!L3,"")</f>
        <v/>
      </c>
      <c r="D3" s="30">
        <f>IF(A3&lt;&gt;"",'Angajați'!K3,"")</f>
        <v/>
      </c>
      <c r="E3" s="30">
        <f>IF(A3&lt;&gt;"",IFERROR(INDEX('Angajați'!$A:$A,MATCH('Angajați'!M3,'Angajați'!$B:$B&amp;" "&amp;'Angajați'!$C:$C,0)),"-"),"")</f>
        <v/>
      </c>
      <c r="F3" s="30">
        <f>IF(A3&lt;&gt;"",'Angajați'!M3,"")</f>
        <v/>
      </c>
      <c r="G3" s="30">
        <f>IF(A3="","",IF(F3="-",1,IF(IFERROR(MATCH(F3,B$3:B$52,0),0)&gt;0,2,1)))</f>
        <v/>
      </c>
      <c r="I3" s="55" t="inlineStr">
        <is>
          <t>Popescu Ion</t>
        </is>
      </c>
      <c r="J3" s="56" t="inlineStr">
        <is>
          <t>Director General</t>
        </is>
      </c>
      <c r="K3" s="56" t="inlineStr">
        <is>
          <t>Management</t>
        </is>
      </c>
    </row>
    <row r="4">
      <c r="A4" s="30">
        <f>IF('Angajați'!A4&lt;&gt;"",'Angajați'!A4,"")</f>
        <v/>
      </c>
      <c r="B4" s="30">
        <f>IF(A4&lt;&gt;"",'Angajați'!B4&amp;" "&amp;'Angajați'!C4,"")</f>
        <v/>
      </c>
      <c r="C4" s="30">
        <f>IF(A4&lt;&gt;"",'Angajați'!L4,"")</f>
        <v/>
      </c>
      <c r="D4" s="30">
        <f>IF(A4&lt;&gt;"",'Angajați'!K4,"")</f>
        <v/>
      </c>
      <c r="E4" s="30">
        <f>IF(A4&lt;&gt;"",IFERROR(INDEX('Angajați'!$A:$A,MATCH('Angajați'!M4,'Angajați'!$B:$B&amp;" "&amp;'Angajați'!$C:$C,0)),"-"),"")</f>
        <v/>
      </c>
      <c r="F4" s="30">
        <f>IF(A4&lt;&gt;"",'Angajați'!M4,"")</f>
        <v/>
      </c>
      <c r="G4" s="30">
        <f>IF(A4="","",IF(F4="-",1,IF(IFERROR(MATCH(F4,B$3:B$52,0),0)&gt;0,2,1)))</f>
        <v/>
      </c>
      <c r="I4" s="57" t="inlineStr">
        <is>
          <t xml:space="preserve">    ├── Ionescu Maria</t>
        </is>
      </c>
      <c r="J4" s="56" t="inlineStr">
        <is>
          <t>Team Lead Dezvoltare</t>
        </is>
      </c>
      <c r="K4" s="56" t="inlineStr">
        <is>
          <t>IT &amp; Dezvoltare</t>
        </is>
      </c>
    </row>
    <row r="5">
      <c r="A5" s="30">
        <f>IF('Angajați'!A5&lt;&gt;"",'Angajați'!A5,"")</f>
        <v/>
      </c>
      <c r="B5" s="30">
        <f>IF(A5&lt;&gt;"",'Angajați'!B5&amp;" "&amp;'Angajați'!C5,"")</f>
        <v/>
      </c>
      <c r="C5" s="30">
        <f>IF(A5&lt;&gt;"",'Angajați'!L5,"")</f>
        <v/>
      </c>
      <c r="D5" s="30">
        <f>IF(A5&lt;&gt;"",'Angajați'!K5,"")</f>
        <v/>
      </c>
      <c r="E5" s="30">
        <f>IF(A5&lt;&gt;"",IFERROR(INDEX('Angajați'!$A:$A,MATCH('Angajați'!M5,'Angajați'!$B:$B&amp;" "&amp;'Angajați'!$C:$C,0)),"-"),"")</f>
        <v/>
      </c>
      <c r="F5" s="30">
        <f>IF(A5&lt;&gt;"",'Angajați'!M5,"")</f>
        <v/>
      </c>
      <c r="G5" s="30">
        <f>IF(A5="","",IF(F5="-",1,IF(IFERROR(MATCH(F5,B$3:B$52,0),0)&gt;0,2,1)))</f>
        <v/>
      </c>
      <c r="I5" s="57" t="inlineStr">
        <is>
          <t xml:space="preserve">    ├── Georgescu Ana</t>
        </is>
      </c>
      <c r="J5" s="56" t="inlineStr">
        <is>
          <t>Specialist HR</t>
        </is>
      </c>
      <c r="K5" s="56" t="inlineStr">
        <is>
          <t>Resurse Umane</t>
        </is>
      </c>
    </row>
    <row r="6">
      <c r="A6" s="30">
        <f>IF('Angajați'!A6&lt;&gt;"",'Angajați'!A6,"")</f>
        <v/>
      </c>
      <c r="B6" s="30">
        <f>IF(A6&lt;&gt;"",'Angajați'!B6&amp;" "&amp;'Angajați'!C6,"")</f>
        <v/>
      </c>
      <c r="C6" s="30">
        <f>IF(A6&lt;&gt;"",'Angajați'!L6,"")</f>
        <v/>
      </c>
      <c r="D6" s="30">
        <f>IF(A6&lt;&gt;"",'Angajați'!K6,"")</f>
        <v/>
      </c>
      <c r="E6" s="30">
        <f>IF(A6&lt;&gt;"",IFERROR(INDEX('Angajați'!$A:$A,MATCH('Angajați'!M6,'Angajați'!$B:$B&amp;" "&amp;'Angajați'!$C:$C,0)),"-"),"")</f>
        <v/>
      </c>
      <c r="F6" s="30">
        <f>IF(A6&lt;&gt;"",'Angajați'!M6,"")</f>
        <v/>
      </c>
      <c r="G6" s="30">
        <f>IF(A6="","",IF(F6="-",1,IF(IFERROR(MATCH(F6,B$3:B$52,0),0)&gt;0,2,1)))</f>
        <v/>
      </c>
      <c r="I6" s="57" t="inlineStr">
        <is>
          <t xml:space="preserve">    ├── Dumitrescu Pavel</t>
        </is>
      </c>
      <c r="J6" s="56" t="inlineStr">
        <is>
          <t>Contabil</t>
        </is>
      </c>
      <c r="K6" s="56" t="inlineStr">
        <is>
          <t>Financiar-Contabil</t>
        </is>
      </c>
    </row>
    <row r="7">
      <c r="A7" s="30">
        <f>IF('Angajați'!A7&lt;&gt;"",'Angajați'!A7,"")</f>
        <v/>
      </c>
      <c r="B7" s="30">
        <f>IF(A7&lt;&gt;"",'Angajați'!B7&amp;" "&amp;'Angajați'!C7,"")</f>
        <v/>
      </c>
      <c r="C7" s="30">
        <f>IF(A7&lt;&gt;"",'Angajați'!L7,"")</f>
        <v/>
      </c>
      <c r="D7" s="30">
        <f>IF(A7&lt;&gt;"",'Angajați'!K7,"")</f>
        <v/>
      </c>
      <c r="E7" s="30">
        <f>IF(A7&lt;&gt;"",IFERROR(INDEX('Angajați'!$A:$A,MATCH('Angajați'!M7,'Angajați'!$B:$B&amp;" "&amp;'Angajați'!$C:$C,0)),"-"),"")</f>
        <v/>
      </c>
      <c r="F7" s="30">
        <f>IF(A7&lt;&gt;"",'Angajați'!M7,"")</f>
        <v/>
      </c>
      <c r="G7" s="30">
        <f>IF(A7="","",IF(F7="-",1,IF(IFERROR(MATCH(F7,B$3:B$52,0),0)&gt;0,2,1)))</f>
        <v/>
      </c>
      <c r="I7" s="57" t="inlineStr">
        <is>
          <t xml:space="preserve">    ├── Marinescu Elena</t>
        </is>
      </c>
      <c r="J7" s="56" t="inlineStr">
        <is>
          <t>Manager Vânzări</t>
        </is>
      </c>
      <c r="K7" s="56" t="inlineStr">
        <is>
          <t>Vânzări</t>
        </is>
      </c>
    </row>
    <row r="8">
      <c r="A8" s="30">
        <f>IF('Angajați'!A8&lt;&gt;"",'Angajați'!A8,"")</f>
        <v/>
      </c>
      <c r="B8" s="30">
        <f>IF(A8&lt;&gt;"",'Angajați'!B8&amp;" "&amp;'Angajați'!C8,"")</f>
        <v/>
      </c>
      <c r="C8" s="30">
        <f>IF(A8&lt;&gt;"",'Angajați'!L8,"")</f>
        <v/>
      </c>
      <c r="D8" s="30">
        <f>IF(A8&lt;&gt;"",'Angajați'!K8,"")</f>
        <v/>
      </c>
      <c r="E8" s="30">
        <f>IF(A8&lt;&gt;"",IFERROR(INDEX('Angajați'!$A:$A,MATCH('Angajați'!M8,'Angajați'!$B:$B&amp;" "&amp;'Angajați'!$C:$C,0)),"-"),"")</f>
        <v/>
      </c>
      <c r="F8" s="30">
        <f>IF(A8&lt;&gt;"",'Angajați'!M8,"")</f>
        <v/>
      </c>
      <c r="G8" s="30">
        <f>IF(A8="","",IF(F8="-",1,IF(IFERROR(MATCH(F8,B$3:B$52,0),0)&gt;0,2,1)))</f>
        <v/>
      </c>
      <c r="I8" s="57" t="inlineStr">
        <is>
          <t xml:space="preserve">    ├── Constantinescu Dan</t>
        </is>
      </c>
      <c r="J8" s="56" t="inlineStr">
        <is>
          <t>Specialist Marketing</t>
        </is>
      </c>
      <c r="K8" s="56" t="inlineStr">
        <is>
          <t>Marketing</t>
        </is>
      </c>
    </row>
    <row r="9">
      <c r="A9" s="30">
        <f>IF('Angajați'!A9&lt;&gt;"",'Angajați'!A9,"")</f>
        <v/>
      </c>
      <c r="B9" s="30">
        <f>IF(A9&lt;&gt;"",'Angajați'!B9&amp;" "&amp;'Angajați'!C9,"")</f>
        <v/>
      </c>
      <c r="C9" s="30">
        <f>IF(A9&lt;&gt;"",'Angajați'!L9,"")</f>
        <v/>
      </c>
      <c r="D9" s="30">
        <f>IF(A9&lt;&gt;"",'Angajați'!K9,"")</f>
        <v/>
      </c>
      <c r="E9" s="30">
        <f>IF(A9&lt;&gt;"",IFERROR(INDEX('Angajați'!$A:$A,MATCH('Angajați'!M9,'Angajați'!$B:$B&amp;" "&amp;'Angajați'!$C:$C,0)),"-"),"")</f>
        <v/>
      </c>
      <c r="F9" s="30">
        <f>IF(A9&lt;&gt;"",'Angajați'!M9,"")</f>
        <v/>
      </c>
      <c r="G9" s="30">
        <f>IF(A9="","",IF(F9="-",1,IF(IFERROR(MATCH(F9,B$3:B$52,0),0)&gt;0,2,1)))</f>
        <v/>
      </c>
      <c r="I9" s="57" t="inlineStr">
        <is>
          <t xml:space="preserve">    └── Vasilescu Mihai</t>
        </is>
      </c>
      <c r="J9" s="56" t="inlineStr">
        <is>
          <t>Operator Logistică</t>
        </is>
      </c>
      <c r="K9" s="56" t="inlineStr">
        <is>
          <t>Logistică</t>
        </is>
      </c>
    </row>
    <row r="10">
      <c r="A10" s="30">
        <f>IF('Angajați'!A10&lt;&gt;"",'Angajați'!A10,"")</f>
        <v/>
      </c>
      <c r="B10" s="30">
        <f>IF(A10&lt;&gt;"",'Angajați'!B10&amp;" "&amp;'Angajați'!C10,"")</f>
        <v/>
      </c>
      <c r="C10" s="30">
        <f>IF(A10&lt;&gt;"",'Angajați'!L10,"")</f>
        <v/>
      </c>
      <c r="D10" s="30">
        <f>IF(A10&lt;&gt;"",'Angajați'!K10,"")</f>
        <v/>
      </c>
      <c r="E10" s="30">
        <f>IF(A10&lt;&gt;"",IFERROR(INDEX('Angajați'!$A:$A,MATCH('Angajați'!M10,'Angajați'!$B:$B&amp;" "&amp;'Angajați'!$C:$C,0)),"-"),"")</f>
        <v/>
      </c>
      <c r="F10" s="30">
        <f>IF(A10&lt;&gt;"",'Angajați'!M10,"")</f>
        <v/>
      </c>
      <c r="G10" s="30">
        <f>IF(A10="","",IF(F10="-",1,IF(IFERROR(MATCH(F10,B$3:B$52,0),0)&gt;0,2,1)))</f>
        <v/>
      </c>
    </row>
    <row r="11">
      <c r="A11" s="30">
        <f>IF('Angajați'!A11&lt;&gt;"",'Angajați'!A11,"")</f>
        <v/>
      </c>
      <c r="B11" s="30">
        <f>IF(A11&lt;&gt;"",'Angajați'!B11&amp;" "&amp;'Angajați'!C11,"")</f>
        <v/>
      </c>
      <c r="C11" s="30">
        <f>IF(A11&lt;&gt;"",'Angajați'!L11,"")</f>
        <v/>
      </c>
      <c r="D11" s="30">
        <f>IF(A11&lt;&gt;"",'Angajați'!K11,"")</f>
        <v/>
      </c>
      <c r="E11" s="30">
        <f>IF(A11&lt;&gt;"",IFERROR(INDEX('Angajați'!$A:$A,MATCH('Angajați'!M11,'Angajați'!$B:$B&amp;" "&amp;'Angajați'!$C:$C,0)),"-"),"")</f>
        <v/>
      </c>
      <c r="F11" s="30">
        <f>IF(A11&lt;&gt;"",'Angajați'!M11,"")</f>
        <v/>
      </c>
      <c r="G11" s="30">
        <f>IF(A11="","",IF(F11="-",1,IF(IFERROR(MATCH(F11,B$3:B$52,0),0)&gt;0,2,1)))</f>
        <v/>
      </c>
      <c r="I11" s="36" t="inlineStr">
        <is>
          <t>NOTĂ: Organigrama vizuală se actualizează manual sau prin VBA.</t>
        </is>
      </c>
    </row>
    <row r="12">
      <c r="A12" s="30">
        <f>IF('Angajați'!A12&lt;&gt;"",'Angajați'!A12,"")</f>
        <v/>
      </c>
      <c r="B12" s="30">
        <f>IF(A12&lt;&gt;"",'Angajați'!B12&amp;" "&amp;'Angajați'!C12,"")</f>
        <v/>
      </c>
      <c r="C12" s="30">
        <f>IF(A12&lt;&gt;"",'Angajați'!L12,"")</f>
        <v/>
      </c>
      <c r="D12" s="30">
        <f>IF(A12&lt;&gt;"",'Angajați'!K12,"")</f>
        <v/>
      </c>
      <c r="E12" s="30">
        <f>IF(A12&lt;&gt;"",IFERROR(INDEX('Angajați'!$A:$A,MATCH('Angajați'!M12,'Angajați'!$B:$B&amp;" "&amp;'Angajați'!$C:$C,0)),"-"),"")</f>
        <v/>
      </c>
      <c r="F12" s="30">
        <f>IF(A12&lt;&gt;"",'Angajați'!M12,"")</f>
        <v/>
      </c>
      <c r="G12" s="30">
        <f>IF(A12="","",IF(F12="-",1,IF(IFERROR(MATCH(F12,B$3:B$52,0),0)&gt;0,2,1)))</f>
        <v/>
      </c>
      <c r="I12" s="36" t="inlineStr">
        <is>
          <t>Datele din tabelul din stânga se actualizează automat din foaia Angajați.</t>
        </is>
      </c>
    </row>
    <row r="13">
      <c r="A13" s="30">
        <f>IF('Angajați'!A13&lt;&gt;"",'Angajați'!A13,"")</f>
        <v/>
      </c>
      <c r="B13" s="30">
        <f>IF(A13&lt;&gt;"",'Angajați'!B13&amp;" "&amp;'Angajați'!C13,"")</f>
        <v/>
      </c>
      <c r="C13" s="30">
        <f>IF(A13&lt;&gt;"",'Angajați'!L13,"")</f>
        <v/>
      </c>
      <c r="D13" s="30">
        <f>IF(A13&lt;&gt;"",'Angajați'!K13,"")</f>
        <v/>
      </c>
      <c r="E13" s="30">
        <f>IF(A13&lt;&gt;"",IFERROR(INDEX('Angajați'!$A:$A,MATCH('Angajați'!M13,'Angajați'!$B:$B&amp;" "&amp;'Angajați'!$C:$C,0)),"-"),"")</f>
        <v/>
      </c>
      <c r="F13" s="30">
        <f>IF(A13&lt;&gt;"",'Angajați'!M13,"")</f>
        <v/>
      </c>
      <c r="G13" s="30">
        <f>IF(A13="","",IF(F13="-",1,IF(IFERROR(MATCH(F13,B$3:B$52,0),0)&gt;0,2,1)))</f>
        <v/>
      </c>
    </row>
    <row r="14">
      <c r="A14" s="30">
        <f>IF('Angajați'!A14&lt;&gt;"",'Angajați'!A14,"")</f>
        <v/>
      </c>
      <c r="B14" s="30">
        <f>IF(A14&lt;&gt;"",'Angajați'!B14&amp;" "&amp;'Angajați'!C14,"")</f>
        <v/>
      </c>
      <c r="C14" s="30">
        <f>IF(A14&lt;&gt;"",'Angajați'!L14,"")</f>
        <v/>
      </c>
      <c r="D14" s="30">
        <f>IF(A14&lt;&gt;"",'Angajați'!K14,"")</f>
        <v/>
      </c>
      <c r="E14" s="30">
        <f>IF(A14&lt;&gt;"",IFERROR(INDEX('Angajați'!$A:$A,MATCH('Angajați'!M14,'Angajați'!$B:$B&amp;" "&amp;'Angajați'!$C:$C,0)),"-"),"")</f>
        <v/>
      </c>
      <c r="F14" s="30">
        <f>IF(A14&lt;&gt;"",'Angajați'!M14,"")</f>
        <v/>
      </c>
      <c r="G14" s="30">
        <f>IF(A14="","",IF(F14="-",1,IF(IFERROR(MATCH(F14,B$3:B$52,0),0)&gt;0,2,1)))</f>
        <v/>
      </c>
    </row>
    <row r="15">
      <c r="A15" s="30">
        <f>IF('Angajați'!A15&lt;&gt;"",'Angajați'!A15,"")</f>
        <v/>
      </c>
      <c r="B15" s="30">
        <f>IF(A15&lt;&gt;"",'Angajați'!B15&amp;" "&amp;'Angajați'!C15,"")</f>
        <v/>
      </c>
      <c r="C15" s="30">
        <f>IF(A15&lt;&gt;"",'Angajați'!L15,"")</f>
        <v/>
      </c>
      <c r="D15" s="30">
        <f>IF(A15&lt;&gt;"",'Angajați'!K15,"")</f>
        <v/>
      </c>
      <c r="E15" s="30">
        <f>IF(A15&lt;&gt;"",IFERROR(INDEX('Angajați'!$A:$A,MATCH('Angajați'!M15,'Angajați'!$B:$B&amp;" "&amp;'Angajați'!$C:$C,0)),"-"),"")</f>
        <v/>
      </c>
      <c r="F15" s="30">
        <f>IF(A15&lt;&gt;"",'Angajați'!M15,"")</f>
        <v/>
      </c>
      <c r="G15" s="30">
        <f>IF(A15="","",IF(F15="-",1,IF(IFERROR(MATCH(F15,B$3:B$52,0),0)&gt;0,2,1)))</f>
        <v/>
      </c>
    </row>
    <row r="16">
      <c r="A16" s="30">
        <f>IF('Angajați'!A16&lt;&gt;"",'Angajați'!A16,"")</f>
        <v/>
      </c>
      <c r="B16" s="30">
        <f>IF(A16&lt;&gt;"",'Angajați'!B16&amp;" "&amp;'Angajați'!C16,"")</f>
        <v/>
      </c>
      <c r="C16" s="30">
        <f>IF(A16&lt;&gt;"",'Angajați'!L16,"")</f>
        <v/>
      </c>
      <c r="D16" s="30">
        <f>IF(A16&lt;&gt;"",'Angajați'!K16,"")</f>
        <v/>
      </c>
      <c r="E16" s="30">
        <f>IF(A16&lt;&gt;"",IFERROR(INDEX('Angajați'!$A:$A,MATCH('Angajați'!M16,'Angajați'!$B:$B&amp;" "&amp;'Angajați'!$C:$C,0)),"-"),"")</f>
        <v/>
      </c>
      <c r="F16" s="30">
        <f>IF(A16&lt;&gt;"",'Angajați'!M16,"")</f>
        <v/>
      </c>
      <c r="G16" s="30">
        <f>IF(A16="","",IF(F16="-",1,IF(IFERROR(MATCH(F16,B$3:B$52,0),0)&gt;0,2,1)))</f>
        <v/>
      </c>
    </row>
    <row r="17">
      <c r="A17" s="30">
        <f>IF('Angajați'!A17&lt;&gt;"",'Angajați'!A17,"")</f>
        <v/>
      </c>
      <c r="B17" s="30">
        <f>IF(A17&lt;&gt;"",'Angajați'!B17&amp;" "&amp;'Angajați'!C17,"")</f>
        <v/>
      </c>
      <c r="C17" s="30">
        <f>IF(A17&lt;&gt;"",'Angajați'!L17,"")</f>
        <v/>
      </c>
      <c r="D17" s="30">
        <f>IF(A17&lt;&gt;"",'Angajați'!K17,"")</f>
        <v/>
      </c>
      <c r="E17" s="30">
        <f>IF(A17&lt;&gt;"",IFERROR(INDEX('Angajați'!$A:$A,MATCH('Angajați'!M17,'Angajați'!$B:$B&amp;" "&amp;'Angajați'!$C:$C,0)),"-"),"")</f>
        <v/>
      </c>
      <c r="F17" s="30">
        <f>IF(A17&lt;&gt;"",'Angajați'!M17,"")</f>
        <v/>
      </c>
      <c r="G17" s="30">
        <f>IF(A17="","",IF(F17="-",1,IF(IFERROR(MATCH(F17,B$3:B$52,0),0)&gt;0,2,1)))</f>
        <v/>
      </c>
    </row>
    <row r="18">
      <c r="A18" s="30">
        <f>IF('Angajați'!A18&lt;&gt;"",'Angajați'!A18,"")</f>
        <v/>
      </c>
      <c r="B18" s="30">
        <f>IF(A18&lt;&gt;"",'Angajați'!B18&amp;" "&amp;'Angajați'!C18,"")</f>
        <v/>
      </c>
      <c r="C18" s="30">
        <f>IF(A18&lt;&gt;"",'Angajați'!L18,"")</f>
        <v/>
      </c>
      <c r="D18" s="30">
        <f>IF(A18&lt;&gt;"",'Angajați'!K18,"")</f>
        <v/>
      </c>
      <c r="E18" s="30">
        <f>IF(A18&lt;&gt;"",IFERROR(INDEX('Angajați'!$A:$A,MATCH('Angajați'!M18,'Angajați'!$B:$B&amp;" "&amp;'Angajați'!$C:$C,0)),"-"),"")</f>
        <v/>
      </c>
      <c r="F18" s="30">
        <f>IF(A18&lt;&gt;"",'Angajați'!M18,"")</f>
        <v/>
      </c>
      <c r="G18" s="30">
        <f>IF(A18="","",IF(F18="-",1,IF(IFERROR(MATCH(F18,B$3:B$52,0),0)&gt;0,2,1)))</f>
        <v/>
      </c>
    </row>
    <row r="19">
      <c r="A19" s="30">
        <f>IF('Angajați'!A19&lt;&gt;"",'Angajați'!A19,"")</f>
        <v/>
      </c>
      <c r="B19" s="30">
        <f>IF(A19&lt;&gt;"",'Angajați'!B19&amp;" "&amp;'Angajați'!C19,"")</f>
        <v/>
      </c>
      <c r="C19" s="30">
        <f>IF(A19&lt;&gt;"",'Angajați'!L19,"")</f>
        <v/>
      </c>
      <c r="D19" s="30">
        <f>IF(A19&lt;&gt;"",'Angajați'!K19,"")</f>
        <v/>
      </c>
      <c r="E19" s="30">
        <f>IF(A19&lt;&gt;"",IFERROR(INDEX('Angajați'!$A:$A,MATCH('Angajați'!M19,'Angajați'!$B:$B&amp;" "&amp;'Angajați'!$C:$C,0)),"-"),"")</f>
        <v/>
      </c>
      <c r="F19" s="30">
        <f>IF(A19&lt;&gt;"",'Angajați'!M19,"")</f>
        <v/>
      </c>
      <c r="G19" s="30">
        <f>IF(A19="","",IF(F19="-",1,IF(IFERROR(MATCH(F19,B$3:B$52,0),0)&gt;0,2,1)))</f>
        <v/>
      </c>
    </row>
    <row r="20">
      <c r="A20" s="30">
        <f>IF('Angajați'!A20&lt;&gt;"",'Angajați'!A20,"")</f>
        <v/>
      </c>
      <c r="B20" s="30">
        <f>IF(A20&lt;&gt;"",'Angajați'!B20&amp;" "&amp;'Angajați'!C20,"")</f>
        <v/>
      </c>
      <c r="C20" s="30">
        <f>IF(A20&lt;&gt;"",'Angajați'!L20,"")</f>
        <v/>
      </c>
      <c r="D20" s="30">
        <f>IF(A20&lt;&gt;"",'Angajați'!K20,"")</f>
        <v/>
      </c>
      <c r="E20" s="30">
        <f>IF(A20&lt;&gt;"",IFERROR(INDEX('Angajați'!$A:$A,MATCH('Angajați'!M20,'Angajați'!$B:$B&amp;" "&amp;'Angajați'!$C:$C,0)),"-"),"")</f>
        <v/>
      </c>
      <c r="F20" s="30">
        <f>IF(A20&lt;&gt;"",'Angajați'!M20,"")</f>
        <v/>
      </c>
      <c r="G20" s="30">
        <f>IF(A20="","",IF(F20="-",1,IF(IFERROR(MATCH(F20,B$3:B$52,0),0)&gt;0,2,1)))</f>
        <v/>
      </c>
    </row>
    <row r="21">
      <c r="A21" s="30">
        <f>IF('Angajați'!A21&lt;&gt;"",'Angajați'!A21,"")</f>
        <v/>
      </c>
      <c r="B21" s="30">
        <f>IF(A21&lt;&gt;"",'Angajați'!B21&amp;" "&amp;'Angajați'!C21,"")</f>
        <v/>
      </c>
      <c r="C21" s="30">
        <f>IF(A21&lt;&gt;"",'Angajați'!L21,"")</f>
        <v/>
      </c>
      <c r="D21" s="30">
        <f>IF(A21&lt;&gt;"",'Angajați'!K21,"")</f>
        <v/>
      </c>
      <c r="E21" s="30">
        <f>IF(A21&lt;&gt;"",IFERROR(INDEX('Angajați'!$A:$A,MATCH('Angajați'!M21,'Angajați'!$B:$B&amp;" "&amp;'Angajați'!$C:$C,0)),"-"),"")</f>
        <v/>
      </c>
      <c r="F21" s="30">
        <f>IF(A21&lt;&gt;"",'Angajați'!M21,"")</f>
        <v/>
      </c>
      <c r="G21" s="30">
        <f>IF(A21="","",IF(F21="-",1,IF(IFERROR(MATCH(F21,B$3:B$52,0),0)&gt;0,2,1)))</f>
        <v/>
      </c>
    </row>
    <row r="22">
      <c r="A22" s="30">
        <f>IF('Angajați'!A22&lt;&gt;"",'Angajați'!A22,"")</f>
        <v/>
      </c>
      <c r="B22" s="30">
        <f>IF(A22&lt;&gt;"",'Angajați'!B22&amp;" "&amp;'Angajați'!C22,"")</f>
        <v/>
      </c>
      <c r="C22" s="30">
        <f>IF(A22&lt;&gt;"",'Angajați'!L22,"")</f>
        <v/>
      </c>
      <c r="D22" s="30">
        <f>IF(A22&lt;&gt;"",'Angajați'!K22,"")</f>
        <v/>
      </c>
      <c r="E22" s="30">
        <f>IF(A22&lt;&gt;"",IFERROR(INDEX('Angajați'!$A:$A,MATCH('Angajați'!M22,'Angajați'!$B:$B&amp;" "&amp;'Angajați'!$C:$C,0)),"-"),"")</f>
        <v/>
      </c>
      <c r="F22" s="30">
        <f>IF(A22&lt;&gt;"",'Angajați'!M22,"")</f>
        <v/>
      </c>
      <c r="G22" s="30">
        <f>IF(A22="","",IF(F22="-",1,IF(IFERROR(MATCH(F22,B$3:B$52,0),0)&gt;0,2,1)))</f>
        <v/>
      </c>
    </row>
    <row r="23">
      <c r="A23" s="30">
        <f>IF('Angajați'!A23&lt;&gt;"",'Angajați'!A23,"")</f>
        <v/>
      </c>
      <c r="B23" s="30">
        <f>IF(A23&lt;&gt;"",'Angajați'!B23&amp;" "&amp;'Angajați'!C23,"")</f>
        <v/>
      </c>
      <c r="C23" s="30">
        <f>IF(A23&lt;&gt;"",'Angajați'!L23,"")</f>
        <v/>
      </c>
      <c r="D23" s="30">
        <f>IF(A23&lt;&gt;"",'Angajați'!K23,"")</f>
        <v/>
      </c>
      <c r="E23" s="30">
        <f>IF(A23&lt;&gt;"",IFERROR(INDEX('Angajați'!$A:$A,MATCH('Angajați'!M23,'Angajați'!$B:$B&amp;" "&amp;'Angajați'!$C:$C,0)),"-"),"")</f>
        <v/>
      </c>
      <c r="F23" s="30">
        <f>IF(A23&lt;&gt;"",'Angajați'!M23,"")</f>
        <v/>
      </c>
      <c r="G23" s="30">
        <f>IF(A23="","",IF(F23="-",1,IF(IFERROR(MATCH(F23,B$3:B$52,0),0)&gt;0,2,1)))</f>
        <v/>
      </c>
    </row>
    <row r="24">
      <c r="A24" s="30">
        <f>IF('Angajați'!A24&lt;&gt;"",'Angajați'!A24,"")</f>
        <v/>
      </c>
      <c r="B24" s="30">
        <f>IF(A24&lt;&gt;"",'Angajați'!B24&amp;" "&amp;'Angajați'!C24,"")</f>
        <v/>
      </c>
      <c r="C24" s="30">
        <f>IF(A24&lt;&gt;"",'Angajați'!L24,"")</f>
        <v/>
      </c>
      <c r="D24" s="30">
        <f>IF(A24&lt;&gt;"",'Angajați'!K24,"")</f>
        <v/>
      </c>
      <c r="E24" s="30">
        <f>IF(A24&lt;&gt;"",IFERROR(INDEX('Angajați'!$A:$A,MATCH('Angajați'!M24,'Angajați'!$B:$B&amp;" "&amp;'Angajați'!$C:$C,0)),"-"),"")</f>
        <v/>
      </c>
      <c r="F24" s="30">
        <f>IF(A24&lt;&gt;"",'Angajați'!M24,"")</f>
        <v/>
      </c>
      <c r="G24" s="30">
        <f>IF(A24="","",IF(F24="-",1,IF(IFERROR(MATCH(F24,B$3:B$52,0),0)&gt;0,2,1)))</f>
        <v/>
      </c>
    </row>
    <row r="25">
      <c r="A25" s="30">
        <f>IF('Angajați'!A25&lt;&gt;"",'Angajați'!A25,"")</f>
        <v/>
      </c>
      <c r="B25" s="30">
        <f>IF(A25&lt;&gt;"",'Angajați'!B25&amp;" "&amp;'Angajați'!C25,"")</f>
        <v/>
      </c>
      <c r="C25" s="30">
        <f>IF(A25&lt;&gt;"",'Angajați'!L25,"")</f>
        <v/>
      </c>
      <c r="D25" s="30">
        <f>IF(A25&lt;&gt;"",'Angajați'!K25,"")</f>
        <v/>
      </c>
      <c r="E25" s="30">
        <f>IF(A25&lt;&gt;"",IFERROR(INDEX('Angajați'!$A:$A,MATCH('Angajați'!M25,'Angajați'!$B:$B&amp;" "&amp;'Angajați'!$C:$C,0)),"-"),"")</f>
        <v/>
      </c>
      <c r="F25" s="30">
        <f>IF(A25&lt;&gt;"",'Angajați'!M25,"")</f>
        <v/>
      </c>
      <c r="G25" s="30">
        <f>IF(A25="","",IF(F25="-",1,IF(IFERROR(MATCH(F25,B$3:B$52,0),0)&gt;0,2,1)))</f>
        <v/>
      </c>
    </row>
    <row r="26">
      <c r="A26" s="30">
        <f>IF('Angajați'!A26&lt;&gt;"",'Angajați'!A26,"")</f>
        <v/>
      </c>
      <c r="B26" s="30">
        <f>IF(A26&lt;&gt;"",'Angajați'!B26&amp;" "&amp;'Angajați'!C26,"")</f>
        <v/>
      </c>
      <c r="C26" s="30">
        <f>IF(A26&lt;&gt;"",'Angajați'!L26,"")</f>
        <v/>
      </c>
      <c r="D26" s="30">
        <f>IF(A26&lt;&gt;"",'Angajați'!K26,"")</f>
        <v/>
      </c>
      <c r="E26" s="30">
        <f>IF(A26&lt;&gt;"",IFERROR(INDEX('Angajați'!$A:$A,MATCH('Angajați'!M26,'Angajați'!$B:$B&amp;" "&amp;'Angajați'!$C:$C,0)),"-"),"")</f>
        <v/>
      </c>
      <c r="F26" s="30">
        <f>IF(A26&lt;&gt;"",'Angajați'!M26,"")</f>
        <v/>
      </c>
      <c r="G26" s="30">
        <f>IF(A26="","",IF(F26="-",1,IF(IFERROR(MATCH(F26,B$3:B$52,0),0)&gt;0,2,1)))</f>
        <v/>
      </c>
    </row>
    <row r="27">
      <c r="A27" s="30">
        <f>IF('Angajați'!A27&lt;&gt;"",'Angajați'!A27,"")</f>
        <v/>
      </c>
      <c r="B27" s="30">
        <f>IF(A27&lt;&gt;"",'Angajați'!B27&amp;" "&amp;'Angajați'!C27,"")</f>
        <v/>
      </c>
      <c r="C27" s="30">
        <f>IF(A27&lt;&gt;"",'Angajați'!L27,"")</f>
        <v/>
      </c>
      <c r="D27" s="30">
        <f>IF(A27&lt;&gt;"",'Angajați'!K27,"")</f>
        <v/>
      </c>
      <c r="E27" s="30">
        <f>IF(A27&lt;&gt;"",IFERROR(INDEX('Angajați'!$A:$A,MATCH('Angajați'!M27,'Angajați'!$B:$B&amp;" "&amp;'Angajați'!$C:$C,0)),"-"),"")</f>
        <v/>
      </c>
      <c r="F27" s="30">
        <f>IF(A27&lt;&gt;"",'Angajați'!M27,"")</f>
        <v/>
      </c>
      <c r="G27" s="30">
        <f>IF(A27="","",IF(F27="-",1,IF(IFERROR(MATCH(F27,B$3:B$52,0),0)&gt;0,2,1)))</f>
        <v/>
      </c>
    </row>
    <row r="28">
      <c r="A28" s="30">
        <f>IF('Angajați'!A28&lt;&gt;"",'Angajați'!A28,"")</f>
        <v/>
      </c>
      <c r="B28" s="30">
        <f>IF(A28&lt;&gt;"",'Angajați'!B28&amp;" "&amp;'Angajați'!C28,"")</f>
        <v/>
      </c>
      <c r="C28" s="30">
        <f>IF(A28&lt;&gt;"",'Angajați'!L28,"")</f>
        <v/>
      </c>
      <c r="D28" s="30">
        <f>IF(A28&lt;&gt;"",'Angajați'!K28,"")</f>
        <v/>
      </c>
      <c r="E28" s="30">
        <f>IF(A28&lt;&gt;"",IFERROR(INDEX('Angajați'!$A:$A,MATCH('Angajați'!M28,'Angajați'!$B:$B&amp;" "&amp;'Angajați'!$C:$C,0)),"-"),"")</f>
        <v/>
      </c>
      <c r="F28" s="30">
        <f>IF(A28&lt;&gt;"",'Angajați'!M28,"")</f>
        <v/>
      </c>
      <c r="G28" s="30">
        <f>IF(A28="","",IF(F28="-",1,IF(IFERROR(MATCH(F28,B$3:B$52,0),0)&gt;0,2,1)))</f>
        <v/>
      </c>
    </row>
    <row r="29">
      <c r="A29" s="30">
        <f>IF('Angajați'!A29&lt;&gt;"",'Angajați'!A29,"")</f>
        <v/>
      </c>
      <c r="B29" s="30">
        <f>IF(A29&lt;&gt;"",'Angajați'!B29&amp;" "&amp;'Angajați'!C29,"")</f>
        <v/>
      </c>
      <c r="C29" s="30">
        <f>IF(A29&lt;&gt;"",'Angajați'!L29,"")</f>
        <v/>
      </c>
      <c r="D29" s="30">
        <f>IF(A29&lt;&gt;"",'Angajați'!K29,"")</f>
        <v/>
      </c>
      <c r="E29" s="30">
        <f>IF(A29&lt;&gt;"",IFERROR(INDEX('Angajați'!$A:$A,MATCH('Angajați'!M29,'Angajați'!$B:$B&amp;" "&amp;'Angajați'!$C:$C,0)),"-"),"")</f>
        <v/>
      </c>
      <c r="F29" s="30">
        <f>IF(A29&lt;&gt;"",'Angajați'!M29,"")</f>
        <v/>
      </c>
      <c r="G29" s="30">
        <f>IF(A29="","",IF(F29="-",1,IF(IFERROR(MATCH(F29,B$3:B$52,0),0)&gt;0,2,1)))</f>
        <v/>
      </c>
    </row>
    <row r="30">
      <c r="A30" s="30">
        <f>IF('Angajați'!A30&lt;&gt;"",'Angajați'!A30,"")</f>
        <v/>
      </c>
      <c r="B30" s="30">
        <f>IF(A30&lt;&gt;"",'Angajați'!B30&amp;" "&amp;'Angajați'!C30,"")</f>
        <v/>
      </c>
      <c r="C30" s="30">
        <f>IF(A30&lt;&gt;"",'Angajați'!L30,"")</f>
        <v/>
      </c>
      <c r="D30" s="30">
        <f>IF(A30&lt;&gt;"",'Angajați'!K30,"")</f>
        <v/>
      </c>
      <c r="E30" s="30">
        <f>IF(A30&lt;&gt;"",IFERROR(INDEX('Angajați'!$A:$A,MATCH('Angajați'!M30,'Angajați'!$B:$B&amp;" "&amp;'Angajați'!$C:$C,0)),"-"),"")</f>
        <v/>
      </c>
      <c r="F30" s="30">
        <f>IF(A30&lt;&gt;"",'Angajați'!M30,"")</f>
        <v/>
      </c>
      <c r="G30" s="30">
        <f>IF(A30="","",IF(F30="-",1,IF(IFERROR(MATCH(F30,B$3:B$52,0),0)&gt;0,2,1)))</f>
        <v/>
      </c>
    </row>
    <row r="31">
      <c r="A31" s="30">
        <f>IF('Angajați'!A31&lt;&gt;"",'Angajați'!A31,"")</f>
        <v/>
      </c>
      <c r="B31" s="30">
        <f>IF(A31&lt;&gt;"",'Angajați'!B31&amp;" "&amp;'Angajați'!C31,"")</f>
        <v/>
      </c>
      <c r="C31" s="30">
        <f>IF(A31&lt;&gt;"",'Angajați'!L31,"")</f>
        <v/>
      </c>
      <c r="D31" s="30">
        <f>IF(A31&lt;&gt;"",'Angajați'!K31,"")</f>
        <v/>
      </c>
      <c r="E31" s="30">
        <f>IF(A31&lt;&gt;"",IFERROR(INDEX('Angajați'!$A:$A,MATCH('Angajați'!M31,'Angajați'!$B:$B&amp;" "&amp;'Angajați'!$C:$C,0)),"-"),"")</f>
        <v/>
      </c>
      <c r="F31" s="30">
        <f>IF(A31&lt;&gt;"",'Angajați'!M31,"")</f>
        <v/>
      </c>
      <c r="G31" s="30">
        <f>IF(A31="","",IF(F31="-",1,IF(IFERROR(MATCH(F31,B$3:B$52,0),0)&gt;0,2,1)))</f>
        <v/>
      </c>
    </row>
    <row r="32">
      <c r="A32" s="30">
        <f>IF('Angajați'!A32&lt;&gt;"",'Angajați'!A32,"")</f>
        <v/>
      </c>
      <c r="B32" s="30">
        <f>IF(A32&lt;&gt;"",'Angajați'!B32&amp;" "&amp;'Angajați'!C32,"")</f>
        <v/>
      </c>
      <c r="C32" s="30">
        <f>IF(A32&lt;&gt;"",'Angajați'!L32,"")</f>
        <v/>
      </c>
      <c r="D32" s="30">
        <f>IF(A32&lt;&gt;"",'Angajați'!K32,"")</f>
        <v/>
      </c>
      <c r="E32" s="30">
        <f>IF(A32&lt;&gt;"",IFERROR(INDEX('Angajați'!$A:$A,MATCH('Angajați'!M32,'Angajați'!$B:$B&amp;" "&amp;'Angajați'!$C:$C,0)),"-"),"")</f>
        <v/>
      </c>
      <c r="F32" s="30">
        <f>IF(A32&lt;&gt;"",'Angajați'!M32,"")</f>
        <v/>
      </c>
      <c r="G32" s="30">
        <f>IF(A32="","",IF(F32="-",1,IF(IFERROR(MATCH(F32,B$3:B$52,0),0)&gt;0,2,1)))</f>
        <v/>
      </c>
    </row>
    <row r="33">
      <c r="A33" s="30">
        <f>IF('Angajați'!A33&lt;&gt;"",'Angajați'!A33,"")</f>
        <v/>
      </c>
      <c r="B33" s="30">
        <f>IF(A33&lt;&gt;"",'Angajați'!B33&amp;" "&amp;'Angajați'!C33,"")</f>
        <v/>
      </c>
      <c r="C33" s="30">
        <f>IF(A33&lt;&gt;"",'Angajați'!L33,"")</f>
        <v/>
      </c>
      <c r="D33" s="30">
        <f>IF(A33&lt;&gt;"",'Angajați'!K33,"")</f>
        <v/>
      </c>
      <c r="E33" s="30">
        <f>IF(A33&lt;&gt;"",IFERROR(INDEX('Angajați'!$A:$A,MATCH('Angajați'!M33,'Angajați'!$B:$B&amp;" "&amp;'Angajați'!$C:$C,0)),"-"),"")</f>
        <v/>
      </c>
      <c r="F33" s="30">
        <f>IF(A33&lt;&gt;"",'Angajați'!M33,"")</f>
        <v/>
      </c>
      <c r="G33" s="30">
        <f>IF(A33="","",IF(F33="-",1,IF(IFERROR(MATCH(F33,B$3:B$52,0),0)&gt;0,2,1)))</f>
        <v/>
      </c>
    </row>
    <row r="34">
      <c r="A34" s="30">
        <f>IF('Angajați'!A34&lt;&gt;"",'Angajați'!A34,"")</f>
        <v/>
      </c>
      <c r="B34" s="30">
        <f>IF(A34&lt;&gt;"",'Angajați'!B34&amp;" "&amp;'Angajați'!C34,"")</f>
        <v/>
      </c>
      <c r="C34" s="30">
        <f>IF(A34&lt;&gt;"",'Angajați'!L34,"")</f>
        <v/>
      </c>
      <c r="D34" s="30">
        <f>IF(A34&lt;&gt;"",'Angajați'!K34,"")</f>
        <v/>
      </c>
      <c r="E34" s="30">
        <f>IF(A34&lt;&gt;"",IFERROR(INDEX('Angajați'!$A:$A,MATCH('Angajați'!M34,'Angajați'!$B:$B&amp;" "&amp;'Angajați'!$C:$C,0)),"-"),"")</f>
        <v/>
      </c>
      <c r="F34" s="30">
        <f>IF(A34&lt;&gt;"",'Angajați'!M34,"")</f>
        <v/>
      </c>
      <c r="G34" s="30">
        <f>IF(A34="","",IF(F34="-",1,IF(IFERROR(MATCH(F34,B$3:B$52,0),0)&gt;0,2,1)))</f>
        <v/>
      </c>
    </row>
    <row r="35">
      <c r="A35" s="30">
        <f>IF('Angajați'!A35&lt;&gt;"",'Angajați'!A35,"")</f>
        <v/>
      </c>
      <c r="B35" s="30">
        <f>IF(A35&lt;&gt;"",'Angajați'!B35&amp;" "&amp;'Angajați'!C35,"")</f>
        <v/>
      </c>
      <c r="C35" s="30">
        <f>IF(A35&lt;&gt;"",'Angajați'!L35,"")</f>
        <v/>
      </c>
      <c r="D35" s="30">
        <f>IF(A35&lt;&gt;"",'Angajați'!K35,"")</f>
        <v/>
      </c>
      <c r="E35" s="30">
        <f>IF(A35&lt;&gt;"",IFERROR(INDEX('Angajați'!$A:$A,MATCH('Angajați'!M35,'Angajați'!$B:$B&amp;" "&amp;'Angajați'!$C:$C,0)),"-"),"")</f>
        <v/>
      </c>
      <c r="F35" s="30">
        <f>IF(A35&lt;&gt;"",'Angajați'!M35,"")</f>
        <v/>
      </c>
      <c r="G35" s="30">
        <f>IF(A35="","",IF(F35="-",1,IF(IFERROR(MATCH(F35,B$3:B$52,0),0)&gt;0,2,1)))</f>
        <v/>
      </c>
    </row>
    <row r="36">
      <c r="A36" s="30">
        <f>IF('Angajați'!A36&lt;&gt;"",'Angajați'!A36,"")</f>
        <v/>
      </c>
      <c r="B36" s="30">
        <f>IF(A36&lt;&gt;"",'Angajați'!B36&amp;" "&amp;'Angajați'!C36,"")</f>
        <v/>
      </c>
      <c r="C36" s="30">
        <f>IF(A36&lt;&gt;"",'Angajați'!L36,"")</f>
        <v/>
      </c>
      <c r="D36" s="30">
        <f>IF(A36&lt;&gt;"",'Angajați'!K36,"")</f>
        <v/>
      </c>
      <c r="E36" s="30">
        <f>IF(A36&lt;&gt;"",IFERROR(INDEX('Angajați'!$A:$A,MATCH('Angajați'!M36,'Angajați'!$B:$B&amp;" "&amp;'Angajați'!$C:$C,0)),"-"),"")</f>
        <v/>
      </c>
      <c r="F36" s="30">
        <f>IF(A36&lt;&gt;"",'Angajați'!M36,"")</f>
        <v/>
      </c>
      <c r="G36" s="30">
        <f>IF(A36="","",IF(F36="-",1,IF(IFERROR(MATCH(F36,B$3:B$52,0),0)&gt;0,2,1)))</f>
        <v/>
      </c>
    </row>
    <row r="37">
      <c r="A37" s="30">
        <f>IF('Angajați'!A37&lt;&gt;"",'Angajați'!A37,"")</f>
        <v/>
      </c>
      <c r="B37" s="30">
        <f>IF(A37&lt;&gt;"",'Angajați'!B37&amp;" "&amp;'Angajați'!C37,"")</f>
        <v/>
      </c>
      <c r="C37" s="30">
        <f>IF(A37&lt;&gt;"",'Angajați'!L37,"")</f>
        <v/>
      </c>
      <c r="D37" s="30">
        <f>IF(A37&lt;&gt;"",'Angajați'!K37,"")</f>
        <v/>
      </c>
      <c r="E37" s="30">
        <f>IF(A37&lt;&gt;"",IFERROR(INDEX('Angajați'!$A:$A,MATCH('Angajați'!M37,'Angajați'!$B:$B&amp;" "&amp;'Angajați'!$C:$C,0)),"-"),"")</f>
        <v/>
      </c>
      <c r="F37" s="30">
        <f>IF(A37&lt;&gt;"",'Angajați'!M37,"")</f>
        <v/>
      </c>
      <c r="G37" s="30">
        <f>IF(A37="","",IF(F37="-",1,IF(IFERROR(MATCH(F37,B$3:B$52,0),0)&gt;0,2,1)))</f>
        <v/>
      </c>
    </row>
    <row r="38">
      <c r="A38" s="30">
        <f>IF('Angajați'!A38&lt;&gt;"",'Angajați'!A38,"")</f>
        <v/>
      </c>
      <c r="B38" s="30">
        <f>IF(A38&lt;&gt;"",'Angajați'!B38&amp;" "&amp;'Angajați'!C38,"")</f>
        <v/>
      </c>
      <c r="C38" s="30">
        <f>IF(A38&lt;&gt;"",'Angajați'!L38,"")</f>
        <v/>
      </c>
      <c r="D38" s="30">
        <f>IF(A38&lt;&gt;"",'Angajați'!K38,"")</f>
        <v/>
      </c>
      <c r="E38" s="30">
        <f>IF(A38&lt;&gt;"",IFERROR(INDEX('Angajați'!$A:$A,MATCH('Angajați'!M38,'Angajați'!$B:$B&amp;" "&amp;'Angajați'!$C:$C,0)),"-"),"")</f>
        <v/>
      </c>
      <c r="F38" s="30">
        <f>IF(A38&lt;&gt;"",'Angajați'!M38,"")</f>
        <v/>
      </c>
      <c r="G38" s="30">
        <f>IF(A38="","",IF(F38="-",1,IF(IFERROR(MATCH(F38,B$3:B$52,0),0)&gt;0,2,1)))</f>
        <v/>
      </c>
    </row>
    <row r="39">
      <c r="A39" s="30">
        <f>IF('Angajați'!A39&lt;&gt;"",'Angajați'!A39,"")</f>
        <v/>
      </c>
      <c r="B39" s="30">
        <f>IF(A39&lt;&gt;"",'Angajați'!B39&amp;" "&amp;'Angajați'!C39,"")</f>
        <v/>
      </c>
      <c r="C39" s="30">
        <f>IF(A39&lt;&gt;"",'Angajați'!L39,"")</f>
        <v/>
      </c>
      <c r="D39" s="30">
        <f>IF(A39&lt;&gt;"",'Angajați'!K39,"")</f>
        <v/>
      </c>
      <c r="E39" s="30">
        <f>IF(A39&lt;&gt;"",IFERROR(INDEX('Angajați'!$A:$A,MATCH('Angajați'!M39,'Angajați'!$B:$B&amp;" "&amp;'Angajați'!$C:$C,0)),"-"),"")</f>
        <v/>
      </c>
      <c r="F39" s="30">
        <f>IF(A39&lt;&gt;"",'Angajați'!M39,"")</f>
        <v/>
      </c>
      <c r="G39" s="30">
        <f>IF(A39="","",IF(F39="-",1,IF(IFERROR(MATCH(F39,B$3:B$52,0),0)&gt;0,2,1)))</f>
        <v/>
      </c>
    </row>
    <row r="40">
      <c r="A40" s="30">
        <f>IF('Angajați'!A40&lt;&gt;"",'Angajați'!A40,"")</f>
        <v/>
      </c>
      <c r="B40" s="30">
        <f>IF(A40&lt;&gt;"",'Angajați'!B40&amp;" "&amp;'Angajați'!C40,"")</f>
        <v/>
      </c>
      <c r="C40" s="30">
        <f>IF(A40&lt;&gt;"",'Angajați'!L40,"")</f>
        <v/>
      </c>
      <c r="D40" s="30">
        <f>IF(A40&lt;&gt;"",'Angajați'!K40,"")</f>
        <v/>
      </c>
      <c r="E40" s="30">
        <f>IF(A40&lt;&gt;"",IFERROR(INDEX('Angajați'!$A:$A,MATCH('Angajați'!M40,'Angajați'!$B:$B&amp;" "&amp;'Angajați'!$C:$C,0)),"-"),"")</f>
        <v/>
      </c>
      <c r="F40" s="30">
        <f>IF(A40&lt;&gt;"",'Angajați'!M40,"")</f>
        <v/>
      </c>
      <c r="G40" s="30">
        <f>IF(A40="","",IF(F40="-",1,IF(IFERROR(MATCH(F40,B$3:B$52,0),0)&gt;0,2,1)))</f>
        <v/>
      </c>
    </row>
    <row r="41">
      <c r="A41" s="30">
        <f>IF('Angajați'!A41&lt;&gt;"",'Angajați'!A41,"")</f>
        <v/>
      </c>
      <c r="B41" s="30">
        <f>IF(A41&lt;&gt;"",'Angajați'!B41&amp;" "&amp;'Angajați'!C41,"")</f>
        <v/>
      </c>
      <c r="C41" s="30">
        <f>IF(A41&lt;&gt;"",'Angajați'!L41,"")</f>
        <v/>
      </c>
      <c r="D41" s="30">
        <f>IF(A41&lt;&gt;"",'Angajați'!K41,"")</f>
        <v/>
      </c>
      <c r="E41" s="30">
        <f>IF(A41&lt;&gt;"",IFERROR(INDEX('Angajați'!$A:$A,MATCH('Angajați'!M41,'Angajați'!$B:$B&amp;" "&amp;'Angajați'!$C:$C,0)),"-"),"")</f>
        <v/>
      </c>
      <c r="F41" s="30">
        <f>IF(A41&lt;&gt;"",'Angajați'!M41,"")</f>
        <v/>
      </c>
      <c r="G41" s="30">
        <f>IF(A41="","",IF(F41="-",1,IF(IFERROR(MATCH(F41,B$3:B$52,0),0)&gt;0,2,1)))</f>
        <v/>
      </c>
    </row>
    <row r="42">
      <c r="A42" s="30">
        <f>IF('Angajați'!A42&lt;&gt;"",'Angajați'!A42,"")</f>
        <v/>
      </c>
      <c r="B42" s="30">
        <f>IF(A42&lt;&gt;"",'Angajați'!B42&amp;" "&amp;'Angajați'!C42,"")</f>
        <v/>
      </c>
      <c r="C42" s="30">
        <f>IF(A42&lt;&gt;"",'Angajați'!L42,"")</f>
        <v/>
      </c>
      <c r="D42" s="30">
        <f>IF(A42&lt;&gt;"",'Angajați'!K42,"")</f>
        <v/>
      </c>
      <c r="E42" s="30">
        <f>IF(A42&lt;&gt;"",IFERROR(INDEX('Angajați'!$A:$A,MATCH('Angajați'!M42,'Angajați'!$B:$B&amp;" "&amp;'Angajați'!$C:$C,0)),"-"),"")</f>
        <v/>
      </c>
      <c r="F42" s="30">
        <f>IF(A42&lt;&gt;"",'Angajați'!M42,"")</f>
        <v/>
      </c>
      <c r="G42" s="30">
        <f>IF(A42="","",IF(F42="-",1,IF(IFERROR(MATCH(F42,B$3:B$52,0),0)&gt;0,2,1)))</f>
        <v/>
      </c>
    </row>
    <row r="43">
      <c r="A43" s="30">
        <f>IF('Angajați'!A43&lt;&gt;"",'Angajați'!A43,"")</f>
        <v/>
      </c>
      <c r="B43" s="30">
        <f>IF(A43&lt;&gt;"",'Angajați'!B43&amp;" "&amp;'Angajați'!C43,"")</f>
        <v/>
      </c>
      <c r="C43" s="30">
        <f>IF(A43&lt;&gt;"",'Angajați'!L43,"")</f>
        <v/>
      </c>
      <c r="D43" s="30">
        <f>IF(A43&lt;&gt;"",'Angajați'!K43,"")</f>
        <v/>
      </c>
      <c r="E43" s="30">
        <f>IF(A43&lt;&gt;"",IFERROR(INDEX('Angajați'!$A:$A,MATCH('Angajați'!M43,'Angajați'!$B:$B&amp;" "&amp;'Angajați'!$C:$C,0)),"-"),"")</f>
        <v/>
      </c>
      <c r="F43" s="30">
        <f>IF(A43&lt;&gt;"",'Angajați'!M43,"")</f>
        <v/>
      </c>
      <c r="G43" s="30">
        <f>IF(A43="","",IF(F43="-",1,IF(IFERROR(MATCH(F43,B$3:B$52,0),0)&gt;0,2,1)))</f>
        <v/>
      </c>
    </row>
    <row r="44">
      <c r="A44" s="30">
        <f>IF('Angajați'!A44&lt;&gt;"",'Angajați'!A44,"")</f>
        <v/>
      </c>
      <c r="B44" s="30">
        <f>IF(A44&lt;&gt;"",'Angajați'!B44&amp;" "&amp;'Angajați'!C44,"")</f>
        <v/>
      </c>
      <c r="C44" s="30">
        <f>IF(A44&lt;&gt;"",'Angajați'!L44,"")</f>
        <v/>
      </c>
      <c r="D44" s="30">
        <f>IF(A44&lt;&gt;"",'Angajați'!K44,"")</f>
        <v/>
      </c>
      <c r="E44" s="30">
        <f>IF(A44&lt;&gt;"",IFERROR(INDEX('Angajați'!$A:$A,MATCH('Angajați'!M44,'Angajați'!$B:$B&amp;" "&amp;'Angajați'!$C:$C,0)),"-"),"")</f>
        <v/>
      </c>
      <c r="F44" s="30">
        <f>IF(A44&lt;&gt;"",'Angajați'!M44,"")</f>
        <v/>
      </c>
      <c r="G44" s="30">
        <f>IF(A44="","",IF(F44="-",1,IF(IFERROR(MATCH(F44,B$3:B$52,0),0)&gt;0,2,1)))</f>
        <v/>
      </c>
    </row>
    <row r="45">
      <c r="A45" s="30">
        <f>IF('Angajați'!A45&lt;&gt;"",'Angajați'!A45,"")</f>
        <v/>
      </c>
      <c r="B45" s="30">
        <f>IF(A45&lt;&gt;"",'Angajați'!B45&amp;" "&amp;'Angajați'!C45,"")</f>
        <v/>
      </c>
      <c r="C45" s="30">
        <f>IF(A45&lt;&gt;"",'Angajați'!L45,"")</f>
        <v/>
      </c>
      <c r="D45" s="30">
        <f>IF(A45&lt;&gt;"",'Angajați'!K45,"")</f>
        <v/>
      </c>
      <c r="E45" s="30">
        <f>IF(A45&lt;&gt;"",IFERROR(INDEX('Angajați'!$A:$A,MATCH('Angajați'!M45,'Angajați'!$B:$B&amp;" "&amp;'Angajați'!$C:$C,0)),"-"),"")</f>
        <v/>
      </c>
      <c r="F45" s="30">
        <f>IF(A45&lt;&gt;"",'Angajați'!M45,"")</f>
        <v/>
      </c>
      <c r="G45" s="30">
        <f>IF(A45="","",IF(F45="-",1,IF(IFERROR(MATCH(F45,B$3:B$52,0),0)&gt;0,2,1)))</f>
        <v/>
      </c>
    </row>
    <row r="46">
      <c r="A46" s="30">
        <f>IF('Angajați'!A46&lt;&gt;"",'Angajați'!A46,"")</f>
        <v/>
      </c>
      <c r="B46" s="30">
        <f>IF(A46&lt;&gt;"",'Angajați'!B46&amp;" "&amp;'Angajați'!C46,"")</f>
        <v/>
      </c>
      <c r="C46" s="30">
        <f>IF(A46&lt;&gt;"",'Angajați'!L46,"")</f>
        <v/>
      </c>
      <c r="D46" s="30">
        <f>IF(A46&lt;&gt;"",'Angajați'!K46,"")</f>
        <v/>
      </c>
      <c r="E46" s="30">
        <f>IF(A46&lt;&gt;"",IFERROR(INDEX('Angajați'!$A:$A,MATCH('Angajați'!M46,'Angajați'!$B:$B&amp;" "&amp;'Angajați'!$C:$C,0)),"-"),"")</f>
        <v/>
      </c>
      <c r="F46" s="30">
        <f>IF(A46&lt;&gt;"",'Angajați'!M46,"")</f>
        <v/>
      </c>
      <c r="G46" s="30">
        <f>IF(A46="","",IF(F46="-",1,IF(IFERROR(MATCH(F46,B$3:B$52,0),0)&gt;0,2,1)))</f>
        <v/>
      </c>
    </row>
    <row r="47">
      <c r="A47" s="30">
        <f>IF('Angajați'!A47&lt;&gt;"",'Angajați'!A47,"")</f>
        <v/>
      </c>
      <c r="B47" s="30">
        <f>IF(A47&lt;&gt;"",'Angajați'!B47&amp;" "&amp;'Angajați'!C47,"")</f>
        <v/>
      </c>
      <c r="C47" s="30">
        <f>IF(A47&lt;&gt;"",'Angajați'!L47,"")</f>
        <v/>
      </c>
      <c r="D47" s="30">
        <f>IF(A47&lt;&gt;"",'Angajați'!K47,"")</f>
        <v/>
      </c>
      <c r="E47" s="30">
        <f>IF(A47&lt;&gt;"",IFERROR(INDEX('Angajați'!$A:$A,MATCH('Angajați'!M47,'Angajați'!$B:$B&amp;" "&amp;'Angajați'!$C:$C,0)),"-"),"")</f>
        <v/>
      </c>
      <c r="F47" s="30">
        <f>IF(A47&lt;&gt;"",'Angajați'!M47,"")</f>
        <v/>
      </c>
      <c r="G47" s="30">
        <f>IF(A47="","",IF(F47="-",1,IF(IFERROR(MATCH(F47,B$3:B$52,0),0)&gt;0,2,1)))</f>
        <v/>
      </c>
    </row>
    <row r="48">
      <c r="A48" s="30">
        <f>IF('Angajați'!A48&lt;&gt;"",'Angajați'!A48,"")</f>
        <v/>
      </c>
      <c r="B48" s="30">
        <f>IF(A48&lt;&gt;"",'Angajați'!B48&amp;" "&amp;'Angajați'!C48,"")</f>
        <v/>
      </c>
      <c r="C48" s="30">
        <f>IF(A48&lt;&gt;"",'Angajați'!L48,"")</f>
        <v/>
      </c>
      <c r="D48" s="30">
        <f>IF(A48&lt;&gt;"",'Angajați'!K48,"")</f>
        <v/>
      </c>
      <c r="E48" s="30">
        <f>IF(A48&lt;&gt;"",IFERROR(INDEX('Angajați'!$A:$A,MATCH('Angajați'!M48,'Angajați'!$B:$B&amp;" "&amp;'Angajați'!$C:$C,0)),"-"),"")</f>
        <v/>
      </c>
      <c r="F48" s="30">
        <f>IF(A48&lt;&gt;"",'Angajați'!M48,"")</f>
        <v/>
      </c>
      <c r="G48" s="30">
        <f>IF(A48="","",IF(F48="-",1,IF(IFERROR(MATCH(F48,B$3:B$52,0),0)&gt;0,2,1)))</f>
        <v/>
      </c>
    </row>
    <row r="49">
      <c r="A49" s="30">
        <f>IF('Angajați'!A49&lt;&gt;"",'Angajați'!A49,"")</f>
        <v/>
      </c>
      <c r="B49" s="30">
        <f>IF(A49&lt;&gt;"",'Angajați'!B49&amp;" "&amp;'Angajați'!C49,"")</f>
        <v/>
      </c>
      <c r="C49" s="30">
        <f>IF(A49&lt;&gt;"",'Angajați'!L49,"")</f>
        <v/>
      </c>
      <c r="D49" s="30">
        <f>IF(A49&lt;&gt;"",'Angajați'!K49,"")</f>
        <v/>
      </c>
      <c r="E49" s="30">
        <f>IF(A49&lt;&gt;"",IFERROR(INDEX('Angajați'!$A:$A,MATCH('Angajați'!M49,'Angajați'!$B:$B&amp;" "&amp;'Angajați'!$C:$C,0)),"-"),"")</f>
        <v/>
      </c>
      <c r="F49" s="30">
        <f>IF(A49&lt;&gt;"",'Angajați'!M49,"")</f>
        <v/>
      </c>
      <c r="G49" s="30">
        <f>IF(A49="","",IF(F49="-",1,IF(IFERROR(MATCH(F49,B$3:B$52,0),0)&gt;0,2,1)))</f>
        <v/>
      </c>
    </row>
    <row r="50">
      <c r="A50" s="30">
        <f>IF('Angajați'!A50&lt;&gt;"",'Angajați'!A50,"")</f>
        <v/>
      </c>
      <c r="B50" s="30">
        <f>IF(A50&lt;&gt;"",'Angajați'!B50&amp;" "&amp;'Angajați'!C50,"")</f>
        <v/>
      </c>
      <c r="C50" s="30">
        <f>IF(A50&lt;&gt;"",'Angajați'!L50,"")</f>
        <v/>
      </c>
      <c r="D50" s="30">
        <f>IF(A50&lt;&gt;"",'Angajați'!K50,"")</f>
        <v/>
      </c>
      <c r="E50" s="30">
        <f>IF(A50&lt;&gt;"",IFERROR(INDEX('Angajați'!$A:$A,MATCH('Angajați'!M50,'Angajați'!$B:$B&amp;" "&amp;'Angajați'!$C:$C,0)),"-"),"")</f>
        <v/>
      </c>
      <c r="F50" s="30">
        <f>IF(A50&lt;&gt;"",'Angajați'!M50,"")</f>
        <v/>
      </c>
      <c r="G50" s="30">
        <f>IF(A50="","",IF(F50="-",1,IF(IFERROR(MATCH(F50,B$3:B$52,0),0)&gt;0,2,1)))</f>
        <v/>
      </c>
    </row>
    <row r="51">
      <c r="A51" s="30">
        <f>IF('Angajați'!A51&lt;&gt;"",'Angajați'!A51,"")</f>
        <v/>
      </c>
      <c r="B51" s="30">
        <f>IF(A51&lt;&gt;"",'Angajați'!B51&amp;" "&amp;'Angajați'!C51,"")</f>
        <v/>
      </c>
      <c r="C51" s="30">
        <f>IF(A51&lt;&gt;"",'Angajați'!L51,"")</f>
        <v/>
      </c>
      <c r="D51" s="30">
        <f>IF(A51&lt;&gt;"",'Angajați'!K51,"")</f>
        <v/>
      </c>
      <c r="E51" s="30">
        <f>IF(A51&lt;&gt;"",IFERROR(INDEX('Angajați'!$A:$A,MATCH('Angajați'!M51,'Angajați'!$B:$B&amp;" "&amp;'Angajați'!$C:$C,0)),"-"),"")</f>
        <v/>
      </c>
      <c r="F51" s="30">
        <f>IF(A51&lt;&gt;"",'Angajați'!M51,"")</f>
        <v/>
      </c>
      <c r="G51" s="30">
        <f>IF(A51="","",IF(F51="-",1,IF(IFERROR(MATCH(F51,B$3:B$52,0),0)&gt;0,2,1)))</f>
        <v/>
      </c>
    </row>
    <row r="52">
      <c r="A52" s="30">
        <f>IF('Angajați'!A52&lt;&gt;"",'Angajați'!A52,"")</f>
        <v/>
      </c>
      <c r="B52" s="30">
        <f>IF(A52&lt;&gt;"",'Angajați'!B52&amp;" "&amp;'Angajați'!C52,"")</f>
        <v/>
      </c>
      <c r="C52" s="30">
        <f>IF(A52&lt;&gt;"",'Angajați'!L52,"")</f>
        <v/>
      </c>
      <c r="D52" s="30">
        <f>IF(A52&lt;&gt;"",'Angajați'!K52,"")</f>
        <v/>
      </c>
      <c r="E52" s="30">
        <f>IF(A52&lt;&gt;"",IFERROR(INDEX('Angajați'!$A:$A,MATCH('Angajați'!M52,'Angajați'!$B:$B&amp;" "&amp;'Angajați'!$C:$C,0)),"-"),"")</f>
        <v/>
      </c>
      <c r="F52" s="30">
        <f>IF(A52&lt;&gt;"",'Angajați'!M52,"")</f>
        <v/>
      </c>
      <c r="G52" s="30">
        <f>IF(A52="","",IF(F52="-",1,IF(IFERROR(MATCH(F52,B$3:B$52,0),0)&gt;0,2,1)))</f>
        <v/>
      </c>
    </row>
  </sheetData>
  <mergeCells count="2">
    <mergeCell ref="I1:M1"/>
    <mergeCell ref="A1:G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757575"/>
    <outlinePr summaryBelow="1" summaryRight="1"/>
    <pageSetUpPr/>
  </sheetPr>
  <dimension ref="A1:L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8" customWidth="1" min="3" max="3"/>
    <col width="18" customWidth="1" min="4" max="4"/>
    <col width="12" customWidth="1" min="5" max="5"/>
    <col width="20" customWidth="1" min="6" max="6"/>
    <col width="18" customWidth="1" min="7" max="7"/>
    <col width="22" customWidth="1" min="8" max="8"/>
    <col width="20" customWidth="1" min="9" max="9"/>
    <col width="25" customWidth="1" min="10" max="10"/>
    <col width="25" customWidth="1" min="11" max="11"/>
    <col width="25" customWidth="1" min="12" max="12"/>
  </cols>
  <sheetData>
    <row r="1">
      <c r="A1" s="22" t="inlineStr">
        <is>
          <t>ISTORIC MODIFICĂRI / AUDIT TRAIL</t>
        </is>
      </c>
    </row>
    <row r="2">
      <c r="A2" s="23" t="inlineStr">
        <is>
          <t>ID</t>
        </is>
      </c>
      <c r="B2" s="23" t="inlineStr">
        <is>
          <t>Data Modificării</t>
        </is>
      </c>
      <c r="C2" s="23" t="inlineStr">
        <is>
          <t>Ora</t>
        </is>
      </c>
      <c r="D2" s="23" t="inlineStr">
        <is>
          <t>Utilizator</t>
        </is>
      </c>
      <c r="E2" s="23" t="inlineStr">
        <is>
          <t>ID Angajat</t>
        </is>
      </c>
      <c r="F2" s="23" t="inlineStr">
        <is>
          <t>Nume Angajat</t>
        </is>
      </c>
      <c r="G2" s="23" t="inlineStr">
        <is>
          <t>Entitate Modificată</t>
        </is>
      </c>
      <c r="H2" s="23" t="inlineStr">
        <is>
          <t>Tip Modificare</t>
        </is>
      </c>
      <c r="I2" s="23" t="inlineStr">
        <is>
          <t>Câmp Modificat</t>
        </is>
      </c>
      <c r="J2" s="23" t="inlineStr">
        <is>
          <t>Valoare Veche</t>
        </is>
      </c>
      <c r="K2" s="23" t="inlineStr">
        <is>
          <t>Valoare Nouă</t>
        </is>
      </c>
      <c r="L2" s="23" t="inlineStr">
        <is>
          <t>Motivul Modificării</t>
        </is>
      </c>
    </row>
    <row r="3">
      <c r="A3" s="24" t="inlineStr">
        <is>
          <t>H001</t>
        </is>
      </c>
      <c r="B3" s="25" t="n">
        <v>45672</v>
      </c>
      <c r="C3" s="24" t="inlineStr">
        <is>
          <t>09:30</t>
        </is>
      </c>
      <c r="D3" s="24" t="inlineStr">
        <is>
          <t>Admin</t>
        </is>
      </c>
      <c r="E3" s="24" t="inlineStr">
        <is>
          <t>A002</t>
        </is>
      </c>
      <c r="F3" s="24">
        <f>IFERROR(VLOOKUP(E3,'Angajați'!$A:$C,2,0)&amp;" "&amp;VLOOKUP(E3,'Angajați'!$A:$C,3,0),"N/A")</f>
        <v/>
      </c>
      <c r="G3" s="24" t="inlineStr">
        <is>
          <t>Contracte</t>
        </is>
      </c>
      <c r="H3" s="24" t="inlineStr">
        <is>
          <t>Modificare Salariu</t>
        </is>
      </c>
      <c r="I3" s="24" t="inlineStr">
        <is>
          <t>Salariu Brut</t>
        </is>
      </c>
      <c r="J3" s="24" t="inlineStr">
        <is>
          <t>12000 RON</t>
        </is>
      </c>
      <c r="K3" s="24" t="inlineStr">
        <is>
          <t>14000 RON</t>
        </is>
      </c>
      <c r="L3" s="24" t="inlineStr">
        <is>
          <t>Mărire salarială anuală</t>
        </is>
      </c>
    </row>
    <row r="4">
      <c r="A4" s="26" t="inlineStr">
        <is>
          <t>H002</t>
        </is>
      </c>
      <c r="B4" s="27" t="n">
        <v>45689</v>
      </c>
      <c r="C4" s="26" t="inlineStr">
        <is>
          <t>10:15</t>
        </is>
      </c>
      <c r="D4" s="26" t="inlineStr">
        <is>
          <t>Admin</t>
        </is>
      </c>
      <c r="E4" s="26" t="inlineStr">
        <is>
          <t>A005</t>
        </is>
      </c>
      <c r="F4" s="26">
        <f>IFERROR(VLOOKUP(E4,'Angajați'!$A:$C,2,0)&amp;" "&amp;VLOOKUP(E4,'Angajați'!$A:$C,3,0),"N/A")</f>
        <v/>
      </c>
      <c r="G4" s="26" t="inlineStr">
        <is>
          <t>Angajați</t>
        </is>
      </c>
      <c r="H4" s="26" t="inlineStr">
        <is>
          <t>Modificare Departament</t>
        </is>
      </c>
      <c r="I4" s="26" t="inlineStr">
        <is>
          <t>Departament</t>
        </is>
      </c>
      <c r="J4" s="26" t="inlineStr">
        <is>
          <t>Marketing</t>
        </is>
      </c>
      <c r="K4" s="26" t="inlineStr">
        <is>
          <t>Vânzări</t>
        </is>
      </c>
      <c r="L4" s="26" t="inlineStr">
        <is>
          <t>Restructurare organizațională</t>
        </is>
      </c>
    </row>
    <row r="5">
      <c r="A5" s="24" t="inlineStr">
        <is>
          <t>H003</t>
        </is>
      </c>
      <c r="B5" s="25" t="n">
        <v>45717</v>
      </c>
      <c r="C5" s="24" t="inlineStr">
        <is>
          <t>08:00</t>
        </is>
      </c>
      <c r="D5" s="24" t="inlineStr">
        <is>
          <t>Admin</t>
        </is>
      </c>
      <c r="E5" s="24" t="inlineStr">
        <is>
          <t>A003</t>
        </is>
      </c>
      <c r="F5" s="24">
        <f>IFERROR(VLOOKUP(E5,'Angajați'!$A:$C,2,0)&amp;" "&amp;VLOOKUP(E5,'Angajați'!$A:$C,3,0),"N/A")</f>
        <v/>
      </c>
      <c r="G5" s="24" t="inlineStr">
        <is>
          <t>Angajați</t>
        </is>
      </c>
      <c r="H5" s="24" t="inlineStr">
        <is>
          <t>Modificare Funcție</t>
        </is>
      </c>
      <c r="I5" s="24" t="inlineStr">
        <is>
          <t>Funcție</t>
        </is>
      </c>
      <c r="J5" s="24" t="inlineStr">
        <is>
          <t>Specialist HR Junior</t>
        </is>
      </c>
      <c r="K5" s="24" t="inlineStr">
        <is>
          <t>Specialist HR</t>
        </is>
      </c>
      <c r="L5" s="24" t="inlineStr">
        <is>
          <t>Promovare</t>
        </is>
      </c>
    </row>
    <row r="6">
      <c r="A6" s="26" t="inlineStr">
        <is>
          <t>H004</t>
        </is>
      </c>
      <c r="B6" s="27" t="n">
        <v>45726</v>
      </c>
      <c r="C6" s="26" t="inlineStr">
        <is>
          <t>14:00</t>
        </is>
      </c>
      <c r="D6" s="26" t="inlineStr">
        <is>
          <t>Admin</t>
        </is>
      </c>
      <c r="E6" s="26" t="inlineStr">
        <is>
          <t>A004</t>
        </is>
      </c>
      <c r="F6" s="26">
        <f>IFERROR(VLOOKUP(E6,'Angajați'!$A:$C,2,0)&amp;" "&amp;VLOOKUP(E6,'Angajați'!$A:$C,3,0),"N/A")</f>
        <v/>
      </c>
      <c r="G6" s="26" t="inlineStr">
        <is>
          <t>Concedii</t>
        </is>
      </c>
      <c r="H6" s="26" t="inlineStr">
        <is>
          <t>Altele</t>
        </is>
      </c>
      <c r="I6" s="26" t="inlineStr">
        <is>
          <t>Status Concediu</t>
        </is>
      </c>
      <c r="J6" s="26" t="inlineStr">
        <is>
          <t>În Așteptare</t>
        </is>
      </c>
      <c r="K6" s="26" t="inlineStr">
        <is>
          <t>Aprobat</t>
        </is>
      </c>
      <c r="L6" s="26" t="inlineStr">
        <is>
          <t>Aprobare concediu medical</t>
        </is>
      </c>
    </row>
    <row r="9">
      <c r="A9" s="36" t="inlineStr">
        <is>
          <t>NOTĂ: Acest jurnal se completează automat prin modulele VBA sau manual la fiecare modificare semnificativă.</t>
        </is>
      </c>
    </row>
  </sheetData>
  <autoFilter ref="A2:L2"/>
  <mergeCells count="1">
    <mergeCell ref="A1:L1"/>
  </mergeCells>
  <dataValidations count="2">
    <dataValidation sqref="G3:G1000" showDropDown="0" showInputMessage="1" showErrorMessage="1" allowBlank="1" errorTitle="Eroare Validare" error="Valoare invalidă! Selectați din lista disponibilă." promptTitle="Selectare" prompt="Selectați o opțiune din listă" type="list">
      <formula1>"Angajați,Contracte,Departamente,Pontaj,Concedii,Salarizare,Evaluări,Training,Recrutare,Documente"</formula1>
    </dataValidation>
    <dataValidation sqref="H3:H1000" showDropDown="0" showInputMessage="1" showErrorMessage="1" allowBlank="1" errorTitle="Eroare Validare" error="Valoare invalidă! Selectați din lista disponibilă." promptTitle="Selectare" prompt="Selectați o opțiune din listă" type="list">
      <formula1>"Angajare Nouă,Modificare Date Personale,Modificare Contract,Modificare Salariu,Modificare Departament,Modificare Funcție,Promovare,Suspendare,Reactivare,Demisie,Concediere,Expirare Contract,Act Adițional,Altele"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607D8B"/>
    <outlinePr summaryBelow="1" summaryRight="1"/>
    <pageSetUpPr/>
  </sheetPr>
  <dimension ref="A1:R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  <col width="45" customWidth="1" min="3" max="3"/>
    <col width="16" customWidth="1" min="5" max="5"/>
    <col width="18" customWidth="1" min="6" max="6"/>
    <col width="31" customWidth="1" min="7" max="7"/>
    <col width="17" customWidth="1" min="8" max="8"/>
    <col width="15" customWidth="1" min="9" max="9"/>
    <col width="5" customWidth="1" min="10" max="10"/>
    <col width="15" customWidth="1" min="11" max="11"/>
    <col width="20" customWidth="1" min="12" max="12"/>
    <col width="17" customWidth="1" min="13" max="13"/>
    <col width="17" customWidth="1" min="14" max="14"/>
    <col width="17" customWidth="1" min="15" max="15"/>
    <col width="18" customWidth="1" min="17" max="17"/>
    <col width="18" customWidth="1" min="18" max="18"/>
  </cols>
  <sheetData>
    <row r="1">
      <c r="A1" s="58" t="inlineStr">
        <is>
          <t>PARAMETRI FISCALI ROMÂNIA 2025</t>
        </is>
      </c>
      <c r="E1" s="58" t="inlineStr">
        <is>
          <t>LISTE DROPDOWN</t>
        </is>
      </c>
    </row>
    <row r="2">
      <c r="A2" s="23" t="inlineStr">
        <is>
          <t>Parametru</t>
        </is>
      </c>
      <c r="B2" s="23" t="inlineStr">
        <is>
          <t>Valoare</t>
        </is>
      </c>
      <c r="C2" s="23" t="inlineStr">
        <is>
          <t>Descriere</t>
        </is>
      </c>
      <c r="E2" s="23" t="inlineStr">
        <is>
          <t>Status Angajat</t>
        </is>
      </c>
      <c r="F2" s="23" t="inlineStr">
        <is>
          <t>Tipuri Contract</t>
        </is>
      </c>
      <c r="G2" s="23" t="inlineStr">
        <is>
          <t>Tipuri Concediu</t>
        </is>
      </c>
      <c r="H2" s="23" t="inlineStr">
        <is>
          <t>Status Concediu</t>
        </is>
      </c>
      <c r="I2" s="23" t="inlineStr">
        <is>
          <t>Coduri Pontaj</t>
        </is>
      </c>
      <c r="J2" s="23" t="inlineStr">
        <is>
          <t>Sex</t>
        </is>
      </c>
      <c r="K2" s="23" t="inlineStr">
        <is>
          <t>Nivel Funcție</t>
        </is>
      </c>
      <c r="L2" s="23" t="inlineStr">
        <is>
          <t>Status Recrutare</t>
        </is>
      </c>
      <c r="M2" s="23" t="inlineStr">
        <is>
          <t>Surse Recrutare</t>
        </is>
      </c>
      <c r="N2" s="23" t="inlineStr">
        <is>
          <t>Tipuri Training</t>
        </is>
      </c>
      <c r="O2" s="23" t="inlineStr">
        <is>
          <t>Status Training</t>
        </is>
      </c>
      <c r="Q2" s="23" t="inlineStr">
        <is>
          <t>Sărbători 2025</t>
        </is>
      </c>
      <c r="R2" s="23" t="inlineStr">
        <is>
          <t>Sărbători 2026</t>
        </is>
      </c>
    </row>
    <row r="3">
      <c r="A3" s="59" t="inlineStr">
        <is>
          <t>CAS (Pensie)</t>
        </is>
      </c>
      <c r="B3" s="60" t="n">
        <v>0.25</v>
      </c>
      <c r="C3" s="59" t="inlineStr">
        <is>
          <t>Contribuție asigurări sociale - angajat</t>
        </is>
      </c>
      <c r="E3" s="59" t="inlineStr">
        <is>
          <t>Activ</t>
        </is>
      </c>
      <c r="F3" s="59" t="inlineStr">
        <is>
          <t>CIM Nedeterminat</t>
        </is>
      </c>
      <c r="G3" s="59" t="inlineStr">
        <is>
          <t>CO - Concediu Odihnă</t>
        </is>
      </c>
      <c r="H3" s="59" t="inlineStr">
        <is>
          <t>Aprobat</t>
        </is>
      </c>
      <c r="I3" s="59" t="inlineStr">
        <is>
          <t>P</t>
        </is>
      </c>
      <c r="J3" s="59" t="inlineStr">
        <is>
          <t>M</t>
        </is>
      </c>
      <c r="K3" s="59" t="inlineStr">
        <is>
          <t>Junior</t>
        </is>
      </c>
      <c r="L3" s="59" t="inlineStr">
        <is>
          <t>Nou</t>
        </is>
      </c>
      <c r="M3" s="59" t="inlineStr">
        <is>
          <t>LinkedIn</t>
        </is>
      </c>
      <c r="N3" s="59" t="inlineStr">
        <is>
          <t>Intern</t>
        </is>
      </c>
      <c r="O3" s="59" t="inlineStr">
        <is>
          <t>Planificat</t>
        </is>
      </c>
      <c r="Q3" s="61" t="inlineStr">
        <is>
          <t>01-01</t>
        </is>
      </c>
      <c r="R3" s="61" t="inlineStr">
        <is>
          <t>01-01</t>
        </is>
      </c>
    </row>
    <row r="4">
      <c r="A4" s="59" t="inlineStr">
        <is>
          <t>CASS (Sănătate)</t>
        </is>
      </c>
      <c r="B4" s="60" t="n">
        <v>0.1</v>
      </c>
      <c r="C4" s="59" t="inlineStr">
        <is>
          <t>Contribuție sănătate - angajat</t>
        </is>
      </c>
      <c r="E4" s="59" t="inlineStr">
        <is>
          <t>Inactiv</t>
        </is>
      </c>
      <c r="F4" s="59" t="inlineStr">
        <is>
          <t>CIM Determinat</t>
        </is>
      </c>
      <c r="G4" s="59" t="inlineStr">
        <is>
          <t>CM - Concediu Medical</t>
        </is>
      </c>
      <c r="H4" s="59" t="inlineStr">
        <is>
          <t>Respins</t>
        </is>
      </c>
      <c r="I4" s="59" t="inlineStr">
        <is>
          <t>CO</t>
        </is>
      </c>
      <c r="J4" s="59" t="inlineStr">
        <is>
          <t>F</t>
        </is>
      </c>
      <c r="K4" s="59" t="inlineStr">
        <is>
          <t>Mid</t>
        </is>
      </c>
      <c r="L4" s="59" t="inlineStr">
        <is>
          <t>Screening CV</t>
        </is>
      </c>
      <c r="M4" s="59" t="inlineStr">
        <is>
          <t>Site Companie</t>
        </is>
      </c>
      <c r="N4" s="59" t="inlineStr">
        <is>
          <t>Extern</t>
        </is>
      </c>
      <c r="O4" s="59" t="inlineStr">
        <is>
          <t>În Curs</t>
        </is>
      </c>
      <c r="Q4" s="61" t="inlineStr">
        <is>
          <t>02-01</t>
        </is>
      </c>
      <c r="R4" s="61" t="inlineStr">
        <is>
          <t>02-01</t>
        </is>
      </c>
    </row>
    <row r="5">
      <c r="A5" s="59" t="inlineStr">
        <is>
          <t>Impozit pe Venit</t>
        </is>
      </c>
      <c r="B5" s="60" t="n">
        <v>0.1</v>
      </c>
      <c r="C5" s="59" t="inlineStr">
        <is>
          <t>Impozit pe venit - flat tax</t>
        </is>
      </c>
      <c r="E5" s="59" t="inlineStr">
        <is>
          <t>Suspendat</t>
        </is>
      </c>
      <c r="F5" s="59" t="inlineStr">
        <is>
          <t>Part-time</t>
        </is>
      </c>
      <c r="G5" s="59" t="inlineStr">
        <is>
          <t>CFS - Concediu Fără Salariu</t>
        </is>
      </c>
      <c r="H5" s="59" t="inlineStr">
        <is>
          <t>În Așteptare</t>
        </is>
      </c>
      <c r="I5" s="59" t="inlineStr">
        <is>
          <t>CM</t>
        </is>
      </c>
      <c r="K5" s="59" t="inlineStr">
        <is>
          <t>Senior</t>
        </is>
      </c>
      <c r="L5" s="59" t="inlineStr">
        <is>
          <t>Interviu Telefonic</t>
        </is>
      </c>
      <c r="M5" s="59" t="inlineStr">
        <is>
          <t>Referral</t>
        </is>
      </c>
      <c r="N5" s="59" t="inlineStr">
        <is>
          <t>Online</t>
        </is>
      </c>
      <c r="O5" s="59" t="inlineStr">
        <is>
          <t>Finalizat</t>
        </is>
      </c>
      <c r="Q5" s="61" t="inlineStr">
        <is>
          <t>24-01</t>
        </is>
      </c>
      <c r="R5" s="61" t="inlineStr">
        <is>
          <t>24-01</t>
        </is>
      </c>
    </row>
    <row r="6">
      <c r="A6" s="59" t="inlineStr">
        <is>
          <t>CAM</t>
        </is>
      </c>
      <c r="B6" s="60" t="n">
        <v>0.0225</v>
      </c>
      <c r="C6" s="59" t="inlineStr">
        <is>
          <t>Contribuția asiguratorie muncă - angajator</t>
        </is>
      </c>
      <c r="F6" s="59" t="inlineStr">
        <is>
          <t>Convenție Civilă</t>
        </is>
      </c>
      <c r="G6" s="59" t="inlineStr">
        <is>
          <t>CCC - Concediu Creștere Copil</t>
        </is>
      </c>
      <c r="I6" s="59" t="inlineStr">
        <is>
          <t>A</t>
        </is>
      </c>
      <c r="K6" s="59" t="inlineStr">
        <is>
          <t>Lead</t>
        </is>
      </c>
      <c r="L6" s="59" t="inlineStr">
        <is>
          <t>Interviu Tehnic</t>
        </is>
      </c>
      <c r="M6" s="59" t="inlineStr">
        <is>
          <t>Agenție</t>
        </is>
      </c>
      <c r="N6" s="59" t="inlineStr">
        <is>
          <t>Conferință</t>
        </is>
      </c>
      <c r="O6" s="59" t="inlineStr">
        <is>
          <t>Anulat</t>
        </is>
      </c>
      <c r="Q6" s="61" t="inlineStr">
        <is>
          <t>18-04</t>
        </is>
      </c>
      <c r="R6" s="61" t="inlineStr">
        <is>
          <t>10-04</t>
        </is>
      </c>
    </row>
    <row r="7">
      <c r="A7" s="59" t="inlineStr">
        <is>
          <t>Salariu Minim Brut</t>
        </is>
      </c>
      <c r="B7" s="62" t="n">
        <v>4050</v>
      </c>
      <c r="C7" s="59" t="inlineStr">
        <is>
          <t>Salariul minim brut pe economie (RON)</t>
        </is>
      </c>
      <c r="F7" s="59" t="inlineStr">
        <is>
          <t>Internship</t>
        </is>
      </c>
      <c r="G7" s="59" t="inlineStr">
        <is>
          <t>CE - Concediu Eveniment</t>
        </is>
      </c>
      <c r="I7" s="59" t="inlineStr">
        <is>
          <t>AM</t>
        </is>
      </c>
      <c r="K7" s="59" t="inlineStr">
        <is>
          <t>Manager</t>
        </is>
      </c>
      <c r="L7" s="59" t="inlineStr">
        <is>
          <t>Interviu Final</t>
        </is>
      </c>
      <c r="M7" s="59" t="inlineStr">
        <is>
          <t>eJobs</t>
        </is>
      </c>
      <c r="N7" s="59" t="inlineStr">
        <is>
          <t>Workshop</t>
        </is>
      </c>
      <c r="Q7" s="61" t="inlineStr">
        <is>
          <t>20-04</t>
        </is>
      </c>
      <c r="R7" s="61" t="inlineStr">
        <is>
          <t>12-04</t>
        </is>
      </c>
    </row>
    <row r="8">
      <c r="A8" s="59" t="inlineStr">
        <is>
          <t>Deducere Personală Bază</t>
        </is>
      </c>
      <c r="B8" s="62" t="n">
        <v>300</v>
      </c>
      <c r="C8" s="59" t="inlineStr">
        <is>
          <t>Deducere personală de bază (RON)</t>
        </is>
      </c>
      <c r="G8" s="59" t="inlineStr">
        <is>
          <t>CP - Concediu Paternitate</t>
        </is>
      </c>
      <c r="I8" s="59" t="inlineStr">
        <is>
          <t>LS</t>
        </is>
      </c>
      <c r="K8" s="59" t="inlineStr">
        <is>
          <t>Director</t>
        </is>
      </c>
      <c r="L8" s="59" t="inlineStr">
        <is>
          <t>Ofertă</t>
        </is>
      </c>
      <c r="M8" s="59" t="inlineStr">
        <is>
          <t>BestJobs</t>
        </is>
      </c>
      <c r="Q8" s="61" t="inlineStr">
        <is>
          <t>21-04</t>
        </is>
      </c>
      <c r="R8" s="61" t="inlineStr">
        <is>
          <t>13-04</t>
        </is>
      </c>
    </row>
    <row r="9">
      <c r="A9" s="59" t="inlineStr">
        <is>
          <t>Zile CO Standard</t>
        </is>
      </c>
      <c r="B9" s="59" t="n">
        <v>21</v>
      </c>
      <c r="C9" s="59" t="inlineStr">
        <is>
          <t>Zile concediu odihnă / an</t>
        </is>
      </c>
      <c r="G9" s="59" t="inlineStr">
        <is>
          <t>CM - Concediu Maternitate</t>
        </is>
      </c>
      <c r="I9" s="59" t="inlineStr">
        <is>
          <t>OS</t>
        </is>
      </c>
      <c r="L9" s="59" t="inlineStr">
        <is>
          <t>Angajat</t>
        </is>
      </c>
      <c r="M9" s="59" t="inlineStr">
        <is>
          <t>Hipo</t>
        </is>
      </c>
      <c r="Q9" s="61" t="inlineStr">
        <is>
          <t>01-05</t>
        </is>
      </c>
      <c r="R9" s="61" t="inlineStr">
        <is>
          <t>01-05</t>
        </is>
      </c>
    </row>
    <row r="10">
      <c r="A10" s="59" t="inlineStr">
        <is>
          <t>Ore Lucru / Zi</t>
        </is>
      </c>
      <c r="B10" s="59" t="n">
        <v>8</v>
      </c>
      <c r="C10" s="59" t="inlineStr">
        <is>
          <t>Program normal de lucru</t>
        </is>
      </c>
      <c r="I10" s="59" t="inlineStr">
        <is>
          <t>TP</t>
        </is>
      </c>
      <c r="L10" s="59" t="inlineStr">
        <is>
          <t>Respins</t>
        </is>
      </c>
      <c r="M10" s="59" t="inlineStr">
        <is>
          <t>Altele</t>
        </is>
      </c>
      <c r="Q10" s="61" t="inlineStr">
        <is>
          <t>01-06</t>
        </is>
      </c>
      <c r="R10" s="61" t="inlineStr">
        <is>
          <t>01-06</t>
        </is>
      </c>
    </row>
    <row r="11">
      <c r="I11" s="59" t="inlineStr">
        <is>
          <t>D</t>
        </is>
      </c>
      <c r="L11" s="59" t="inlineStr">
        <is>
          <t>Retras</t>
        </is>
      </c>
      <c r="Q11" s="61" t="inlineStr">
        <is>
          <t>08-06</t>
        </is>
      </c>
      <c r="R11" s="61" t="inlineStr">
        <is>
          <t>31-05</t>
        </is>
      </c>
    </row>
    <row r="12">
      <c r="A12" s="58" t="inlineStr">
        <is>
          <t>DATE COMPANIE</t>
        </is>
      </c>
      <c r="Q12" s="61" t="inlineStr">
        <is>
          <t>09-06</t>
        </is>
      </c>
      <c r="R12" s="61" t="inlineStr">
        <is>
          <t>01-06</t>
        </is>
      </c>
    </row>
    <row r="13">
      <c r="A13" s="30" t="inlineStr">
        <is>
          <t>Denumire Companie</t>
        </is>
      </c>
      <c r="B13" s="30" t="inlineStr">
        <is>
          <t>SC Example SRL</t>
        </is>
      </c>
      <c r="Q13" s="61" t="inlineStr">
        <is>
          <t>15-08</t>
        </is>
      </c>
      <c r="R13" s="61" t="inlineStr">
        <is>
          <t>15-08</t>
        </is>
      </c>
    </row>
    <row r="14">
      <c r="A14" s="30" t="inlineStr">
        <is>
          <t>CUI</t>
        </is>
      </c>
      <c r="B14" s="30" t="inlineStr">
        <is>
          <t>RO12345678</t>
        </is>
      </c>
      <c r="Q14" s="61" t="inlineStr">
        <is>
          <t>30-11</t>
        </is>
      </c>
      <c r="R14" s="61" t="inlineStr">
        <is>
          <t>30-11</t>
        </is>
      </c>
    </row>
    <row r="15">
      <c r="A15" s="30" t="inlineStr">
        <is>
          <t>Nr. Reg. Comerțului</t>
        </is>
      </c>
      <c r="B15" s="30" t="inlineStr">
        <is>
          <t>J40/1234/2010</t>
        </is>
      </c>
      <c r="Q15" s="61" t="inlineStr">
        <is>
          <t>01-12</t>
        </is>
      </c>
      <c r="R15" s="61" t="inlineStr">
        <is>
          <t>01-12</t>
        </is>
      </c>
    </row>
    <row r="16">
      <c r="A16" s="30" t="inlineStr">
        <is>
          <t>Adresă Sediu</t>
        </is>
      </c>
      <c r="B16" s="30" t="inlineStr">
        <is>
          <t>Str. Exemplu 10, București, Sector 1</t>
        </is>
      </c>
      <c r="Q16" s="61" t="inlineStr">
        <is>
          <t>25-12</t>
        </is>
      </c>
      <c r="R16" s="61" t="inlineStr">
        <is>
          <t>25-12</t>
        </is>
      </c>
    </row>
    <row r="17">
      <c r="A17" s="30" t="inlineStr">
        <is>
          <t>Telefon</t>
        </is>
      </c>
      <c r="B17" s="30" t="inlineStr">
        <is>
          <t>+40 21 123 4567</t>
        </is>
      </c>
      <c r="Q17" s="61" t="inlineStr">
        <is>
          <t>26-12</t>
        </is>
      </c>
      <c r="R17" s="61" t="inlineStr">
        <is>
          <t>26-12</t>
        </is>
      </c>
    </row>
    <row r="18">
      <c r="A18" s="30" t="inlineStr">
        <is>
          <t>Email</t>
        </is>
      </c>
      <c r="B18" s="30" t="inlineStr">
        <is>
          <t>office@example.ro</t>
        </is>
      </c>
    </row>
    <row r="19">
      <c r="A19" s="30" t="inlineStr">
        <is>
          <t>IBAN</t>
        </is>
      </c>
      <c r="B19" s="30" t="inlineStr">
        <is>
          <t>RO49AAAA1B31007593840000</t>
        </is>
      </c>
    </row>
    <row r="20">
      <c r="A20" s="30" t="inlineStr">
        <is>
          <t>Bancă</t>
        </is>
      </c>
      <c r="B20" s="30" t="inlineStr">
        <is>
          <t>Banca Transilvania</t>
        </is>
      </c>
    </row>
  </sheetData>
  <mergeCells count="3">
    <mergeCell ref="A1:C1"/>
    <mergeCell ref="E1:O1"/>
    <mergeCell ref="A12:C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2026-03-20T13:07:15Z</dcterms:created>
  <dcterms:modified xsi:type="dcterms:W3CDTF">2026-03-20T13:07:15Z</dcterms:modified>
</cp:coreProperties>
</file>